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<sst xmlns="http://schemas.openxmlformats.org/spreadsheetml/2006/main">
  <si>
    <t>WolfKnives Name</t>
  </si>
  <si>
    <t>First Name</t>
  </si>
  <si>
    <t>Last Name</t>
  </si>
  <si>
    <t>State/Province</t>
  </si>
  <si>
    <t>Twitter</t>
  </si>
  <si>
    <t>Instagram</t>
  </si>
  <si>
    <t>Chapter Rank</t>
  </si>
  <si>
    <t>Accolades</t>
  </si>
  <si>
    <t>1% Cocksucker</t>
  </si>
  <si>
    <t>Eric</t>
  </si>
  <si>
    <t>Delaware</t>
  </si>
  <si>
    <t>President</t>
  </si>
  <si>
    <t>100% Fuck Off</t>
  </si>
  <si>
    <t>Joseph</t>
  </si>
  <si>
    <t>Allsup</t>
  </si>
  <si>
    <t>5 Hour Zehnergy</t>
  </si>
  <si>
    <t>David</t>
  </si>
  <si>
    <t>Zehner</t>
  </si>
  <si>
    <t>Aaron Farter</t>
  </si>
  <si>
    <t>Aaron</t>
  </si>
  <si>
    <t>Albin</t>
  </si>
  <si>
    <t>Abraham Cockroach</t>
  </si>
  <si>
    <t>Regan</t>
  </si>
  <si>
    <t>Bugg</t>
  </si>
  <si>
    <t>Ace Freedly / Guitar Junkie</t>
  </si>
  <si>
    <t>Aaron</t>
  </si>
  <si>
    <t>Friedley</t>
  </si>
  <si>
    <t>Alanis Morrishit</t>
  </si>
  <si>
    <t>Alain</t>
  </si>
  <si>
    <t>Venne</t>
  </si>
  <si>
    <t>Quebec</t>
  </si>
  <si>
    <t>Alcoholica</t>
  </si>
  <si>
    <t>Jason</t>
  </si>
  <si>
    <t>B</t>
  </si>
  <si>
    <t>Florida</t>
  </si>
  <si>
    <t>IrishMcFuckNugget</t>
  </si>
  <si>
    <t>Alexandra The Gape</t>
  </si>
  <si>
    <t>Alexandra</t>
  </si>
  <si>
    <t>Michael</t>
  </si>
  <si>
    <t>Alley McBeav</t>
  </si>
  <si>
    <t>Allison</t>
  </si>
  <si>
    <t>Schaffer</t>
  </si>
  <si>
    <t>Alligator Snatch</t>
  </si>
  <si>
    <t>Wade</t>
  </si>
  <si>
    <t>Lucas</t>
  </si>
  <si>
    <t>Anal Colony</t>
  </si>
  <si>
    <t>Colin</t>
  </si>
  <si>
    <t>Lengyell</t>
  </si>
  <si>
    <t>Anal Vacuum</t>
  </si>
  <si>
    <t>Trever</t>
  </si>
  <si>
    <t>S</t>
  </si>
  <si>
    <t>Montana</t>
  </si>
  <si>
    <t>Angel of Meth</t>
  </si>
  <si>
    <t>Jill</t>
  </si>
  <si>
    <t>D</t>
  </si>
  <si>
    <t>Massachusetts</t>
  </si>
  <si>
    <t>bowski477</t>
  </si>
  <si>
    <t>Aquacunt</t>
  </si>
  <si>
    <t>Becky</t>
  </si>
  <si>
    <t>Gill</t>
  </si>
  <si>
    <t>Idaho</t>
  </si>
  <si>
    <t>Areola Helwani</t>
  </si>
  <si>
    <t>Anthony</t>
  </si>
  <si>
    <t>Arellano</t>
  </si>
  <si>
    <t>California</t>
  </si>
  <si>
    <t>Asian Driver</t>
  </si>
  <si>
    <t>Andrew</t>
  </si>
  <si>
    <t>Streety</t>
  </si>
  <si>
    <t>Asian Metal</t>
  </si>
  <si>
    <t>Andrew</t>
  </si>
  <si>
    <t>Lee</t>
  </si>
  <si>
    <t>Ass Banshee</t>
  </si>
  <si>
    <t>Daniel</t>
  </si>
  <si>
    <t>McCallister</t>
  </si>
  <si>
    <t>Ass Florist</t>
  </si>
  <si>
    <t>Terrence A</t>
  </si>
  <si>
    <t>Bumgarner</t>
  </si>
  <si>
    <t>Ass To Mouth</t>
  </si>
  <si>
    <t>Clark</t>
  </si>
  <si>
    <t>Church</t>
  </si>
  <si>
    <t>Aunt Jermamma</t>
  </si>
  <si>
    <t>Levi</t>
  </si>
  <si>
    <t>Silz</t>
  </si>
  <si>
    <t>B.A. Barracus</t>
  </si>
  <si>
    <t>Jordan</t>
  </si>
  <si>
    <t>Wilmot</t>
  </si>
  <si>
    <t>Baby Eagle Cheetah</t>
  </si>
  <si>
    <t>Jeff</t>
  </si>
  <si>
    <t>Reed</t>
  </si>
  <si>
    <t>Bacon Mole</t>
  </si>
  <si>
    <t>Ryan</t>
  </si>
  <si>
    <t>Sigurdson</t>
  </si>
  <si>
    <t>Bagel Support System</t>
  </si>
  <si>
    <t>Josh</t>
  </si>
  <si>
    <t>Kyser</t>
  </si>
  <si>
    <t>Ballsacks</t>
  </si>
  <si>
    <t>Vince</t>
  </si>
  <si>
    <t>Massi</t>
  </si>
  <si>
    <t>Barbie Nazi</t>
  </si>
  <si>
    <t>Andrew</t>
  </si>
  <si>
    <t>Furseth</t>
  </si>
  <si>
    <t>Bear Driver</t>
  </si>
  <si>
    <t>Steve</t>
  </si>
  <si>
    <t>York</t>
  </si>
  <si>
    <t>Bear Rapist</t>
  </si>
  <si>
    <t>Kane</t>
  </si>
  <si>
    <t>Sheane</t>
  </si>
  <si>
    <t>Beefpanther</t>
  </si>
  <si>
    <t>Jill</t>
  </si>
  <si>
    <t>Schwyter</t>
  </si>
  <si>
    <t>Oregon</t>
  </si>
  <si>
    <t>Big Shit</t>
  </si>
  <si>
    <t>Corey</t>
  </si>
  <si>
    <t>Rose</t>
  </si>
  <si>
    <t>Bilf</t>
  </si>
  <si>
    <t>Neil</t>
  </si>
  <si>
    <t>Bear</t>
  </si>
  <si>
    <t>Bill Blow Baggins</t>
  </si>
  <si>
    <t>Joey</t>
  </si>
  <si>
    <t>Eggins</t>
  </si>
  <si>
    <t>Billy Ray Virus</t>
  </si>
  <si>
    <t>Tyler</t>
  </si>
  <si>
    <t>Wray</t>
  </si>
  <si>
    <t>Bitch Little</t>
  </si>
  <si>
    <t>Scooter</t>
  </si>
  <si>
    <t>Cree</t>
  </si>
  <si>
    <t>bitPimps</t>
  </si>
  <si>
    <t>Tim</t>
  </si>
  <si>
    <t>Timmerson</t>
  </si>
  <si>
    <t>Missouri</t>
  </si>
  <si>
    <t>President</t>
  </si>
  <si>
    <t>Black Magnum</t>
  </si>
  <si>
    <t>Anthony</t>
  </si>
  <si>
    <t>Johnson</t>
  </si>
  <si>
    <t>Black Swan</t>
  </si>
  <si>
    <t>Brian</t>
  </si>
  <si>
    <t>Cogdill</t>
  </si>
  <si>
    <t>Missouri</t>
  </si>
  <si>
    <t>cogdeth</t>
  </si>
  <si>
    <t>Vice President</t>
  </si>
  <si>
    <t>Blackie Witherspoon</t>
  </si>
  <si>
    <t>Chris</t>
  </si>
  <si>
    <t>Riese</t>
  </si>
  <si>
    <t>Saskatchewan</t>
  </si>
  <si>
    <t>Prime Minister</t>
  </si>
  <si>
    <t>Bloated Sasquatch</t>
  </si>
  <si>
    <t>Joe</t>
  </si>
  <si>
    <t>Hodgdon</t>
  </si>
  <si>
    <t>California</t>
  </si>
  <si>
    <t>Blood Eagle</t>
  </si>
  <si>
    <t>Hughes</t>
  </si>
  <si>
    <t>Roussel</t>
  </si>
  <si>
    <t>Blood Goblet</t>
  </si>
  <si>
    <t>Kevin</t>
  </si>
  <si>
    <t>Lamb</t>
  </si>
  <si>
    <t>Blow Gay Simpson</t>
  </si>
  <si>
    <t>Ashley Edward</t>
  </si>
  <si>
    <t>Liskow</t>
  </si>
  <si>
    <t>Board Op</t>
  </si>
  <si>
    <t>Joe</t>
  </si>
  <si>
    <t>Parker</t>
  </si>
  <si>
    <t>Body Glover</t>
  </si>
  <si>
    <t>Mike</t>
  </si>
  <si>
    <t>Glover</t>
  </si>
  <si>
    <t>BoJangles</t>
  </si>
  <si>
    <t>Shelley</t>
  </si>
  <si>
    <t>Davis Jr</t>
  </si>
  <si>
    <t>Bojangles Witherspoon</t>
  </si>
  <si>
    <t>Robert</t>
  </si>
  <si>
    <t>Aguirre</t>
  </si>
  <si>
    <t>Bonk</t>
  </si>
  <si>
    <t>Kevin</t>
  </si>
  <si>
    <t>Stuard</t>
  </si>
  <si>
    <t>South Carolina</t>
  </si>
  <si>
    <t>Bonk</t>
  </si>
  <si>
    <t>President</t>
  </si>
  <si>
    <t>Booty Rust</t>
  </si>
  <si>
    <t>Bobby</t>
  </si>
  <si>
    <t>Kainer</t>
  </si>
  <si>
    <t>Boozy The Clown</t>
  </si>
  <si>
    <t>Dave</t>
  </si>
  <si>
    <t>Hester</t>
  </si>
  <si>
    <t>Nevada</t>
  </si>
  <si>
    <t>Vegasking99</t>
  </si>
  <si>
    <t>President</t>
  </si>
  <si>
    <t>Brian Bullshit</t>
  </si>
  <si>
    <t>Brian</t>
  </si>
  <si>
    <t>Christ</t>
  </si>
  <si>
    <t>Brown Lube</t>
  </si>
  <si>
    <t>Corey</t>
  </si>
  <si>
    <t>Priester</t>
  </si>
  <si>
    <t>Brown Syndrome</t>
  </si>
  <si>
    <t>Tyler</t>
  </si>
  <si>
    <t>Brown</t>
  </si>
  <si>
    <t>Bruce Cougar</t>
  </si>
  <si>
    <t>Doug</t>
  </si>
  <si>
    <t>Hahn</t>
  </si>
  <si>
    <t>Bryan Bukkake</t>
  </si>
  <si>
    <t>Bryan</t>
  </si>
  <si>
    <t>Lotocki</t>
  </si>
  <si>
    <t>Manitoba</t>
  </si>
  <si>
    <t>blotocki</t>
  </si>
  <si>
    <t>Burtmuda Triangle</t>
  </si>
  <si>
    <t>Brett</t>
  </si>
  <si>
    <t>Rowand</t>
  </si>
  <si>
    <t>Bus Penguin</t>
  </si>
  <si>
    <t>Greg</t>
  </si>
  <si>
    <t>Allen</t>
  </si>
  <si>
    <t>Buster Brown</t>
  </si>
  <si>
    <t>Buster</t>
  </si>
  <si>
    <t>Brown</t>
  </si>
  <si>
    <t>Butt Booty</t>
  </si>
  <si>
    <t>William</t>
  </si>
  <si>
    <t>S</t>
  </si>
  <si>
    <t>Butterballs</t>
  </si>
  <si>
    <t>Michael</t>
  </si>
  <si>
    <t>Soria</t>
  </si>
  <si>
    <t>California</t>
  </si>
  <si>
    <t>HEYSUS</t>
  </si>
  <si>
    <t>President</t>
  </si>
  <si>
    <t>Byron Cullen</t>
  </si>
  <si>
    <t>Byron Lee</t>
  </si>
  <si>
    <t>Dusek</t>
  </si>
  <si>
    <t>Camberetta</t>
  </si>
  <si>
    <t>Cam</t>
  </si>
  <si>
    <t>Baird</t>
  </si>
  <si>
    <t>Captain Banana Trousers</t>
  </si>
  <si>
    <t>Daniel</t>
  </si>
  <si>
    <t>Rozier</t>
  </si>
  <si>
    <t>Captain Choo Choo</t>
  </si>
  <si>
    <t>Morgan</t>
  </si>
  <si>
    <t>Eberts</t>
  </si>
  <si>
    <t>Saskatchewan</t>
  </si>
  <si>
    <t>Captain Racist</t>
  </si>
  <si>
    <t>Matthew</t>
  </si>
  <si>
    <t>Rundell</t>
  </si>
  <si>
    <t>Carfucker</t>
  </si>
  <si>
    <t>Corbin</t>
  </si>
  <si>
    <t>Lehman</t>
  </si>
  <si>
    <t>Charlie Chapstick</t>
  </si>
  <si>
    <t>Jeff</t>
  </si>
  <si>
    <t>Chapman</t>
  </si>
  <si>
    <t>Cheese</t>
  </si>
  <si>
    <t>Gerald</t>
  </si>
  <si>
    <t>Pringle</t>
  </si>
  <si>
    <t>British Columbia</t>
  </si>
  <si>
    <t>geraldpringle</t>
  </si>
  <si>
    <t>Chef Gayardee</t>
  </si>
  <si>
    <t>Spencer</t>
  </si>
  <si>
    <t>Luciani</t>
  </si>
  <si>
    <t>Chief Brody</t>
  </si>
  <si>
    <t>Andy</t>
  </si>
  <si>
    <t>Brodman</t>
  </si>
  <si>
    <t>Minnesota</t>
  </si>
  <si>
    <t>alphadawg</t>
  </si>
  <si>
    <t>Chief Queef</t>
  </si>
  <si>
    <t>Tim</t>
  </si>
  <si>
    <t>Pincumbe</t>
  </si>
  <si>
    <t>Choo Choo Puffington</t>
  </si>
  <si>
    <t>Chris</t>
  </si>
  <si>
    <t>Cardinal</t>
  </si>
  <si>
    <t>Chunk Gape</t>
  </si>
  <si>
    <t>Ed</t>
  </si>
  <si>
    <t>Turner</t>
  </si>
  <si>
    <t>Chunky Placenta</t>
  </si>
  <si>
    <t>Chance</t>
  </si>
  <si>
    <t>Pliska</t>
  </si>
  <si>
    <t>Clark Cable</t>
  </si>
  <si>
    <t>Jon</t>
  </si>
  <si>
    <t>Burrier</t>
  </si>
  <si>
    <t>Clit Cheetos</t>
  </si>
  <si>
    <t>Melissa</t>
  </si>
  <si>
    <t>Alexander</t>
  </si>
  <si>
    <t>California</t>
  </si>
  <si>
    <t>Missy3696</t>
  </si>
  <si>
    <t>Clit Gingivitis</t>
  </si>
  <si>
    <t>Greg</t>
  </si>
  <si>
    <t>M</t>
  </si>
  <si>
    <t>California</t>
  </si>
  <si>
    <t>@fingerxpressions</t>
  </si>
  <si>
    <t>DjFX</t>
  </si>
  <si>
    <t>Clubber Lame</t>
  </si>
  <si>
    <t>Joe</t>
  </si>
  <si>
    <t>Rivera</t>
  </si>
  <si>
    <t>ClubHouseSandwich</t>
  </si>
  <si>
    <t>Cam</t>
  </si>
  <si>
    <t>Audet</t>
  </si>
  <si>
    <t>Alberta</t>
  </si>
  <si>
    <t>CamTheClam</t>
  </si>
  <si>
    <t>Cobra Shark</t>
  </si>
  <si>
    <t>Dan</t>
  </si>
  <si>
    <t>Boey</t>
  </si>
  <si>
    <t>Cock Dockington</t>
  </si>
  <si>
    <t>Jeff</t>
  </si>
  <si>
    <t>Olderness</t>
  </si>
  <si>
    <t>Cock Fondue</t>
  </si>
  <si>
    <t>Mark</t>
  </si>
  <si>
    <t>McKay</t>
  </si>
  <si>
    <t>Cock Global</t>
  </si>
  <si>
    <t>Matt</t>
  </si>
  <si>
    <t>Booker</t>
  </si>
  <si>
    <t>Cock Lightning McQueen</t>
  </si>
  <si>
    <t>Matthew</t>
  </si>
  <si>
    <t>Wendel</t>
  </si>
  <si>
    <t>Cock Mount</t>
  </si>
  <si>
    <t>Mike</t>
  </si>
  <si>
    <t>Bowden</t>
  </si>
  <si>
    <t>Cock Mount Chocula</t>
  </si>
  <si>
    <t>Perri</t>
  </si>
  <si>
    <t>Rosett</t>
  </si>
  <si>
    <t>Cock Shadows</t>
  </si>
  <si>
    <t>Beau</t>
  </si>
  <si>
    <t>Shane</t>
  </si>
  <si>
    <t>Cock Starvin' Marvin</t>
  </si>
  <si>
    <t>Kim</t>
  </si>
  <si>
    <t>Marvin</t>
  </si>
  <si>
    <t>Cock Syrup</t>
  </si>
  <si>
    <t>Brett</t>
  </si>
  <si>
    <t>Mclean</t>
  </si>
  <si>
    <t>Cock Voltage</t>
  </si>
  <si>
    <t>Michael</t>
  </si>
  <si>
    <t>DeHann</t>
  </si>
  <si>
    <t>Cock Vulture</t>
  </si>
  <si>
    <t>Todd</t>
  </si>
  <si>
    <t>Fredrickson</t>
  </si>
  <si>
    <t>Arizona</t>
  </si>
  <si>
    <t>Cockness Monster III</t>
  </si>
  <si>
    <t>Eric</t>
  </si>
  <si>
    <t>Evanson</t>
  </si>
  <si>
    <t>Colt Voltage</t>
  </si>
  <si>
    <t>Colin</t>
  </si>
  <si>
    <t>Day</t>
  </si>
  <si>
    <t>Colton Scaryfuck</t>
  </si>
  <si>
    <t>Colton</t>
  </si>
  <si>
    <t>Arychuk</t>
  </si>
  <si>
    <t>Conchita The Booger Eater</t>
  </si>
  <si>
    <t>Mark</t>
  </si>
  <si>
    <t>Navarro</t>
  </si>
  <si>
    <t>Concrete Balls</t>
  </si>
  <si>
    <t>TJ</t>
  </si>
  <si>
    <t>Austin Jr</t>
  </si>
  <si>
    <t>Pennsylvania</t>
  </si>
  <si>
    <t>Constapatin' Manning</t>
  </si>
  <si>
    <t>Derek</t>
  </si>
  <si>
    <t>Allen</t>
  </si>
  <si>
    <t>Corey Lame</t>
  </si>
  <si>
    <t>Cory</t>
  </si>
  <si>
    <t>Breach</t>
  </si>
  <si>
    <t>Cougar Shaft</t>
  </si>
  <si>
    <t>Andrew</t>
  </si>
  <si>
    <t>Clark</t>
  </si>
  <si>
    <t>Crap Wagon</t>
  </si>
  <si>
    <t>Tyler</t>
  </si>
  <si>
    <t>Blackburn</t>
  </si>
  <si>
    <t>Crazy Jerr</t>
  </si>
  <si>
    <t>Jerry</t>
  </si>
  <si>
    <t>Tucker</t>
  </si>
  <si>
    <t>Colorado</t>
  </si>
  <si>
    <t>President</t>
  </si>
  <si>
    <t>cringe</t>
  </si>
  <si>
    <t>Aaron</t>
  </si>
  <si>
    <t>Texas</t>
  </si>
  <si>
    <t>cringe</t>
  </si>
  <si>
    <t>Croisandra</t>
  </si>
  <si>
    <t>Michel</t>
  </si>
  <si>
    <t>Touchette</t>
  </si>
  <si>
    <t>Cujo</t>
  </si>
  <si>
    <t>Jeffrey</t>
  </si>
  <si>
    <t>G</t>
  </si>
  <si>
    <t>Ontario</t>
  </si>
  <si>
    <t>jakejeff</t>
  </si>
  <si>
    <t>Cum Million</t>
  </si>
  <si>
    <t>Brad</t>
  </si>
  <si>
    <t>Martin</t>
  </si>
  <si>
    <t>Cumtard</t>
  </si>
  <si>
    <t>Kevin</t>
  </si>
  <si>
    <t>Kraft</t>
  </si>
  <si>
    <t>California</t>
  </si>
  <si>
    <t>Court Jester</t>
  </si>
  <si>
    <t>Cunt Fangs</t>
  </si>
  <si>
    <t>Adam</t>
  </si>
  <si>
    <t>Ross</t>
  </si>
  <si>
    <t>Cunt Hunter</t>
  </si>
  <si>
    <t>Hunter</t>
  </si>
  <si>
    <t>Young</t>
  </si>
  <si>
    <t>Texas</t>
  </si>
  <si>
    <t>bounty113</t>
  </si>
  <si>
    <t>Cunt Million</t>
  </si>
  <si>
    <t>David</t>
  </si>
  <si>
    <t>Sokol</t>
  </si>
  <si>
    <t>Cunt Succubus</t>
  </si>
  <si>
    <t>Josephine</t>
  </si>
  <si>
    <t>Greenlee</t>
  </si>
  <si>
    <t>Cut Yeah</t>
  </si>
  <si>
    <t>Stephanie</t>
  </si>
  <si>
    <t>Kutno</t>
  </si>
  <si>
    <t>California</t>
  </si>
  <si>
    <t>D-Rob</t>
  </si>
  <si>
    <t>Doug</t>
  </si>
  <si>
    <t>Robertson</t>
  </si>
  <si>
    <t>Illinois</t>
  </si>
  <si>
    <t>drob70</t>
  </si>
  <si>
    <t>Vice President</t>
  </si>
  <si>
    <t>Dark Log</t>
  </si>
  <si>
    <t>Jimmy</t>
  </si>
  <si>
    <t>Sheane</t>
  </si>
  <si>
    <t>Darryl Shitberry</t>
  </si>
  <si>
    <t>Rob</t>
  </si>
  <si>
    <t>Whitehead</t>
  </si>
  <si>
    <t>Dave Matthews</t>
  </si>
  <si>
    <t>Jeff</t>
  </si>
  <si>
    <t>Messick</t>
  </si>
  <si>
    <t>California</t>
  </si>
  <si>
    <t>WKDaveMatthews</t>
  </si>
  <si>
    <t>Death Vendor</t>
  </si>
  <si>
    <t>Dustin</t>
  </si>
  <si>
    <t>Faulkner</t>
  </si>
  <si>
    <t>Deeznuts</t>
  </si>
  <si>
    <t>Mark</t>
  </si>
  <si>
    <t>Snider</t>
  </si>
  <si>
    <t>Dennis The Penis</t>
  </si>
  <si>
    <t>Denny</t>
  </si>
  <si>
    <t>Provencal</t>
  </si>
  <si>
    <t>Desert Eagle</t>
  </si>
  <si>
    <t>Blake</t>
  </si>
  <si>
    <t>Segal</t>
  </si>
  <si>
    <t>California</t>
  </si>
  <si>
    <t>DesertEagle</t>
  </si>
  <si>
    <t>Diablo Tuna</t>
  </si>
  <si>
    <t>Denise</t>
  </si>
  <si>
    <t>Bertolotti</t>
  </si>
  <si>
    <t>New York</t>
  </si>
  <si>
    <t>niece575</t>
  </si>
  <si>
    <t>First Lady</t>
  </si>
  <si>
    <t>Diamond Fist</t>
  </si>
  <si>
    <t>Dean</t>
  </si>
  <si>
    <t>Scully</t>
  </si>
  <si>
    <t>California</t>
  </si>
  <si>
    <t>Diamond Jizz</t>
  </si>
  <si>
    <t>Brett</t>
  </si>
  <si>
    <t>McDaniel</t>
  </si>
  <si>
    <t>California</t>
  </si>
  <si>
    <t>Drmcbigdick</t>
  </si>
  <si>
    <t>Diamond Republican</t>
  </si>
  <si>
    <t>Nick</t>
  </si>
  <si>
    <t>Faulks</t>
  </si>
  <si>
    <t>Dick Butthole Dumb</t>
  </si>
  <si>
    <t>Justin</t>
  </si>
  <si>
    <t>Penner</t>
  </si>
  <si>
    <t>Dick Chaser</t>
  </si>
  <si>
    <t>Matt</t>
  </si>
  <si>
    <t>Richards</t>
  </si>
  <si>
    <t>Dick Clit Guy</t>
  </si>
  <si>
    <t>Lynn</t>
  </si>
  <si>
    <t>Richens</t>
  </si>
  <si>
    <t>Dick Death</t>
  </si>
  <si>
    <t>Scott</t>
  </si>
  <si>
    <t>Brush</t>
  </si>
  <si>
    <t>Dick Explosion</t>
  </si>
  <si>
    <t>Larry</t>
  </si>
  <si>
    <t>Morgan</t>
  </si>
  <si>
    <t>Dick Fiasco</t>
  </si>
  <si>
    <t>William</t>
  </si>
  <si>
    <t>Glasgow</t>
  </si>
  <si>
    <t>Dick Fixer</t>
  </si>
  <si>
    <t>Mitch</t>
  </si>
  <si>
    <t>Stein</t>
  </si>
  <si>
    <t>Minnesota</t>
  </si>
  <si>
    <t>Dick Jackoff</t>
  </si>
  <si>
    <t>James</t>
  </si>
  <si>
    <t>Jiricka</t>
  </si>
  <si>
    <t>Dick Mouthington</t>
  </si>
  <si>
    <t>Leah</t>
  </si>
  <si>
    <t>Temes</t>
  </si>
  <si>
    <t>Dick Ribs</t>
  </si>
  <si>
    <t>Matt</t>
  </si>
  <si>
    <t>Mercer</t>
  </si>
  <si>
    <t>Dick Ricter</t>
  </si>
  <si>
    <t>Greg</t>
  </si>
  <si>
    <t>DeVeau</t>
  </si>
  <si>
    <t>New York</t>
  </si>
  <si>
    <t>Dick Sandwich McGee</t>
  </si>
  <si>
    <t>Steve</t>
  </si>
  <si>
    <t>Dinsdale</t>
  </si>
  <si>
    <t>California</t>
  </si>
  <si>
    <t>stevetheman</t>
  </si>
  <si>
    <t>Dick-Fil-A</t>
  </si>
  <si>
    <t>Dennis</t>
  </si>
  <si>
    <t>Belanger</t>
  </si>
  <si>
    <t>DJ Herpes</t>
  </si>
  <si>
    <t>Keith</t>
  </si>
  <si>
    <t>Salinas</t>
  </si>
  <si>
    <t>Texas</t>
  </si>
  <si>
    <t>DJHERPES</t>
  </si>
  <si>
    <t>Dong Johnson</t>
  </si>
  <si>
    <t>Ronald</t>
  </si>
  <si>
    <t>Whaley</t>
  </si>
  <si>
    <t>DONK</t>
  </si>
  <si>
    <t>TJ</t>
  </si>
  <si>
    <t>Hale</t>
  </si>
  <si>
    <t>Virginia</t>
  </si>
  <si>
    <t>Dr. Assteeth</t>
  </si>
  <si>
    <t>Edward</t>
  </si>
  <si>
    <t>Asdel</t>
  </si>
  <si>
    <t>Dr. Boo Boo</t>
  </si>
  <si>
    <t>Sean</t>
  </si>
  <si>
    <t>British Columbia</t>
  </si>
  <si>
    <t>DrBooBoo</t>
  </si>
  <si>
    <t>Prime Minister</t>
  </si>
  <si>
    <t>Dr. Cocksucker</t>
  </si>
  <si>
    <t>Richy</t>
  </si>
  <si>
    <t>Bang</t>
  </si>
  <si>
    <t>Alberta</t>
  </si>
  <si>
    <t>richybang</t>
  </si>
  <si>
    <t>Dr. Dickweed</t>
  </si>
  <si>
    <t>Ben</t>
  </si>
  <si>
    <t>Corbett</t>
  </si>
  <si>
    <t>Dr. Gay</t>
  </si>
  <si>
    <t>Jerry</t>
  </si>
  <si>
    <t>Nelson</t>
  </si>
  <si>
    <t>Dude Uterus</t>
  </si>
  <si>
    <t>Brooke</t>
  </si>
  <si>
    <t>Provencher</t>
  </si>
  <si>
    <t>Dutch</t>
  </si>
  <si>
    <t>Kees</t>
  </si>
  <si>
    <t>Woudenberg</t>
  </si>
  <si>
    <t>Colorado</t>
  </si>
  <si>
    <t>dbldutch</t>
  </si>
  <si>
    <t>Vice President</t>
  </si>
  <si>
    <t>Eagle Bigfire</t>
  </si>
  <si>
    <t>Dan</t>
  </si>
  <si>
    <t>McNutt</t>
  </si>
  <si>
    <t>Eagle Cum</t>
  </si>
  <si>
    <t>Jessie</t>
  </si>
  <si>
    <t>Klatt</t>
  </si>
  <si>
    <t>Saskatchewan</t>
  </si>
  <si>
    <t>Eagle Precum</t>
  </si>
  <si>
    <t>Adam</t>
  </si>
  <si>
    <t>Cook</t>
  </si>
  <si>
    <t>El Guzy</t>
  </si>
  <si>
    <t>Ernie</t>
  </si>
  <si>
    <t>Guzman</t>
  </si>
  <si>
    <t>Electric Booga-Loo</t>
  </si>
  <si>
    <t>Louis</t>
  </si>
  <si>
    <t>Electric Diamond Sword</t>
  </si>
  <si>
    <t>Will</t>
  </si>
  <si>
    <t>Gump</t>
  </si>
  <si>
    <t>Electric Dirt</t>
  </si>
  <si>
    <t>Seth</t>
  </si>
  <si>
    <t>Hum</t>
  </si>
  <si>
    <t>Electric Jesus</t>
  </si>
  <si>
    <t>Justin</t>
  </si>
  <si>
    <t>Chappell</t>
  </si>
  <si>
    <t>Elephant Dick</t>
  </si>
  <si>
    <t>Brian</t>
  </si>
  <si>
    <t>McManus</t>
  </si>
  <si>
    <t>Tennessee</t>
  </si>
  <si>
    <t>Elvis Horsedick</t>
  </si>
  <si>
    <t>Anthony</t>
  </si>
  <si>
    <t>Knight</t>
  </si>
  <si>
    <t>Alaska</t>
  </si>
  <si>
    <t>Emergency Tits</t>
  </si>
  <si>
    <t>Brittany</t>
  </si>
  <si>
    <t>Voskuhl</t>
  </si>
  <si>
    <t>Emporer Cunt</t>
  </si>
  <si>
    <t>Chris</t>
  </si>
  <si>
    <t>Lepine</t>
  </si>
  <si>
    <t>Emporer Racoon</t>
  </si>
  <si>
    <t>Manny</t>
  </si>
  <si>
    <t>Rivera</t>
  </si>
  <si>
    <t>Empty Wallet</t>
  </si>
  <si>
    <t>Mike</t>
  </si>
  <si>
    <t>Brych</t>
  </si>
  <si>
    <t>North Carolina</t>
  </si>
  <si>
    <t>only10</t>
  </si>
  <si>
    <t>Eric Clapton</t>
  </si>
  <si>
    <t>Louis</t>
  </si>
  <si>
    <t>McGuire</t>
  </si>
  <si>
    <t>Escargonads</t>
  </si>
  <si>
    <t>Renee</t>
  </si>
  <si>
    <t>Oleary</t>
  </si>
  <si>
    <t>Evil Cheetos</t>
  </si>
  <si>
    <t>Shawna</t>
  </si>
  <si>
    <t>Henry</t>
  </si>
  <si>
    <t>Evil Gonorrhea</t>
  </si>
  <si>
    <t>Andrew</t>
  </si>
  <si>
    <t>Martin</t>
  </si>
  <si>
    <t>Evil Queen</t>
  </si>
  <si>
    <t>Chris</t>
  </si>
  <si>
    <t>Willingham</t>
  </si>
  <si>
    <t>Evil Worshipper</t>
  </si>
  <si>
    <t>Adam</t>
  </si>
  <si>
    <t>Freeman</t>
  </si>
  <si>
    <t>Georgia</t>
  </si>
  <si>
    <t>adamb2001</t>
  </si>
  <si>
    <t>Excrement Tom</t>
  </si>
  <si>
    <t>Tom</t>
  </si>
  <si>
    <t>Navarro</t>
  </si>
  <si>
    <t>Falcon Rage Butt</t>
  </si>
  <si>
    <t>Luke</t>
  </si>
  <si>
    <t>Albin</t>
  </si>
  <si>
    <t>Fancy Scabs</t>
  </si>
  <si>
    <t>Brad</t>
  </si>
  <si>
    <t>Brown</t>
  </si>
  <si>
    <t>Fantastic Balls</t>
  </si>
  <si>
    <t>Sean</t>
  </si>
  <si>
    <t>Stevenson</t>
  </si>
  <si>
    <t>California</t>
  </si>
  <si>
    <t>Fart Attack</t>
  </si>
  <si>
    <t>Mike</t>
  </si>
  <si>
    <t>DeHart</t>
  </si>
  <si>
    <t>Fart Hoselog</t>
  </si>
  <si>
    <t>Jarrod</t>
  </si>
  <si>
    <t>McKinney</t>
  </si>
  <si>
    <t>Fartman Wrinklebottom</t>
  </si>
  <si>
    <t>Warren</t>
  </si>
  <si>
    <t>V</t>
  </si>
  <si>
    <t>Fartwrath</t>
  </si>
  <si>
    <t>Dylan</t>
  </si>
  <si>
    <t>Knapp</t>
  </si>
  <si>
    <t>Felch Calzone</t>
  </si>
  <si>
    <t>Ty</t>
  </si>
  <si>
    <t>Zahn</t>
  </si>
  <si>
    <t>Finger Dickin' Good</t>
  </si>
  <si>
    <t>Peter</t>
  </si>
  <si>
    <t>Kahney</t>
  </si>
  <si>
    <t>Firefucker</t>
  </si>
  <si>
    <t>Randy</t>
  </si>
  <si>
    <t>Garza</t>
  </si>
  <si>
    <t>Firenado</t>
  </si>
  <si>
    <t>Patrick</t>
  </si>
  <si>
    <t>Loftus</t>
  </si>
  <si>
    <t>Fish Lightning</t>
  </si>
  <si>
    <t>Jason</t>
  </si>
  <si>
    <t>Coffey</t>
  </si>
  <si>
    <t>Fish Pisseroni</t>
  </si>
  <si>
    <t>Anthony</t>
  </si>
  <si>
    <t>Piscione</t>
  </si>
  <si>
    <t>Flash Cum</t>
  </si>
  <si>
    <t>Ryan</t>
  </si>
  <si>
    <t>Orr</t>
  </si>
  <si>
    <t>Fonzo Blunt</t>
  </si>
  <si>
    <t>Fonso</t>
  </si>
  <si>
    <t>Estrada</t>
  </si>
  <si>
    <t>California</t>
  </si>
  <si>
    <t>Fonso</t>
  </si>
  <si>
    <t>Vice President</t>
  </si>
  <si>
    <t>2014 So-Cal WK of The Year</t>
  </si>
  <si>
    <t>Four Potatoes &amp; A Log</t>
  </si>
  <si>
    <t>Tim</t>
  </si>
  <si>
    <t>Brady</t>
  </si>
  <si>
    <t>Frack Nicholson</t>
  </si>
  <si>
    <t>Matt</t>
  </si>
  <si>
    <t>Robson</t>
  </si>
  <si>
    <t>Fragglerock</t>
  </si>
  <si>
    <t>McAllister</t>
  </si>
  <si>
    <t>Rutlegge</t>
  </si>
  <si>
    <t>French Diarrhea</t>
  </si>
  <si>
    <t>Chad</t>
  </si>
  <si>
    <t>Berlingeri</t>
  </si>
  <si>
    <t>Frosty Sack</t>
  </si>
  <si>
    <t>Jerad</t>
  </si>
  <si>
    <t>S</t>
  </si>
  <si>
    <t>Frozen Shitknife III</t>
  </si>
  <si>
    <t>Tyler</t>
  </si>
  <si>
    <t>Fuck Goddess</t>
  </si>
  <si>
    <t>Kim</t>
  </si>
  <si>
    <t>Dultz</t>
  </si>
  <si>
    <t>Idaho</t>
  </si>
  <si>
    <t>KimDultz</t>
  </si>
  <si>
    <t>First Lady</t>
  </si>
  <si>
    <t>Fuck My Face</t>
  </si>
  <si>
    <t>Briar</t>
  </si>
  <si>
    <t>Smith</t>
  </si>
  <si>
    <t>Fuck Yeah Riffington</t>
  </si>
  <si>
    <t>Mike</t>
  </si>
  <si>
    <t>Savage</t>
  </si>
  <si>
    <t>Fuckasaurus</t>
  </si>
  <si>
    <t>Cody</t>
  </si>
  <si>
    <t>Davis</t>
  </si>
  <si>
    <t>Texas</t>
  </si>
  <si>
    <t>Vice President</t>
  </si>
  <si>
    <t>Fuckface</t>
  </si>
  <si>
    <t>Evan</t>
  </si>
  <si>
    <t>Rodegard</t>
  </si>
  <si>
    <t>California</t>
  </si>
  <si>
    <t>Fuckin' Yoga Pants</t>
  </si>
  <si>
    <t>Anthony</t>
  </si>
  <si>
    <t>Prion</t>
  </si>
  <si>
    <t>Full Blown Mark</t>
  </si>
  <si>
    <t>Mark</t>
  </si>
  <si>
    <t>Behringer</t>
  </si>
  <si>
    <t>Full Trucker Effect</t>
  </si>
  <si>
    <t>Larry</t>
  </si>
  <si>
    <t>Martin</t>
  </si>
  <si>
    <t>Functional Alcoholic</t>
  </si>
  <si>
    <t>Robert</t>
  </si>
  <si>
    <t>Walsh</t>
  </si>
  <si>
    <t>Gamma Gangster</t>
  </si>
  <si>
    <t>Ryan</t>
  </si>
  <si>
    <t>Wessel</t>
  </si>
  <si>
    <t>Gap Hole</t>
  </si>
  <si>
    <t>Brad</t>
  </si>
  <si>
    <t>Welch</t>
  </si>
  <si>
    <t>Gash Gordon</t>
  </si>
  <si>
    <t>Adam</t>
  </si>
  <si>
    <t>Guyot</t>
  </si>
  <si>
    <t>Gasshole</t>
  </si>
  <si>
    <t>Marc</t>
  </si>
  <si>
    <t>Provencher</t>
  </si>
  <si>
    <t>Gay Blow-Me Campbell</t>
  </si>
  <si>
    <t>Alex</t>
  </si>
  <si>
    <t>Smith</t>
  </si>
  <si>
    <t>Gay For Pay</t>
  </si>
  <si>
    <t>Kevin</t>
  </si>
  <si>
    <t>Basanez</t>
  </si>
  <si>
    <t>Gay Porn</t>
  </si>
  <si>
    <t>Scott</t>
  </si>
  <si>
    <t>Henriksen</t>
  </si>
  <si>
    <t>Gay Satan 2.5</t>
  </si>
  <si>
    <t>Grant</t>
  </si>
  <si>
    <t>Austin</t>
  </si>
  <si>
    <t>Gayco</t>
  </si>
  <si>
    <t>Mike</t>
  </si>
  <si>
    <t>Sullivan</t>
  </si>
  <si>
    <t>Gaydolph Shitler</t>
  </si>
  <si>
    <t>Kryan</t>
  </si>
  <si>
    <t>Giesbrecht</t>
  </si>
  <si>
    <t>Giftbag</t>
  </si>
  <si>
    <t>Briant</t>
  </si>
  <si>
    <t>Allen</t>
  </si>
  <si>
    <t>Gigi</t>
  </si>
  <si>
    <t>Darya</t>
  </si>
  <si>
    <t>Wolfe</t>
  </si>
  <si>
    <t>California</t>
  </si>
  <si>
    <t>DarDar70</t>
  </si>
  <si>
    <t>Giraffroman</t>
  </si>
  <si>
    <t>Geoffrey</t>
  </si>
  <si>
    <t>Ray</t>
  </si>
  <si>
    <t>Girlman Dingle</t>
  </si>
  <si>
    <t>Chris</t>
  </si>
  <si>
    <t>Christensen</t>
  </si>
  <si>
    <t>Girth Brooks</t>
  </si>
  <si>
    <t>Nick</t>
  </si>
  <si>
    <t>Vlachos</t>
  </si>
  <si>
    <t>Gizzelle Bunchkin</t>
  </si>
  <si>
    <t>Jeff</t>
  </si>
  <si>
    <t>Penner</t>
  </si>
  <si>
    <t>Gleaming The Pube</t>
  </si>
  <si>
    <t>Jordan</t>
  </si>
  <si>
    <t>Schroeder</t>
  </si>
  <si>
    <t>Goat Throat</t>
  </si>
  <si>
    <t>Chad</t>
  </si>
  <si>
    <t>Scheler</t>
  </si>
  <si>
    <t>Virginia</t>
  </si>
  <si>
    <t>God Coleman</t>
  </si>
  <si>
    <t>Barry</t>
  </si>
  <si>
    <t>Coleman</t>
  </si>
  <si>
    <t>Alberta</t>
  </si>
  <si>
    <t>God Satan</t>
  </si>
  <si>
    <t>Steven</t>
  </si>
  <si>
    <t>Ellis</t>
  </si>
  <si>
    <t>Goo Hole</t>
  </si>
  <si>
    <t>Ryan</t>
  </si>
  <si>
    <t>Ryling</t>
  </si>
  <si>
    <t>Gook Wilson</t>
  </si>
  <si>
    <t>Mark</t>
  </si>
  <si>
    <t>Zuccaro</t>
  </si>
  <si>
    <t>Gorilla Ass</t>
  </si>
  <si>
    <t>Matt</t>
  </si>
  <si>
    <t>Eggleston</t>
  </si>
  <si>
    <t>Government Butt Mule</t>
  </si>
  <si>
    <t>Mario</t>
  </si>
  <si>
    <t>Casaus</t>
  </si>
  <si>
    <t>New Mexico</t>
  </si>
  <si>
    <t>President</t>
  </si>
  <si>
    <t>Greesy Pull</t>
  </si>
  <si>
    <t>Michael</t>
  </si>
  <si>
    <t>Sisneros</t>
  </si>
  <si>
    <t>Gringo Starr</t>
  </si>
  <si>
    <t>Roland</t>
  </si>
  <si>
    <t>Rodriguez</t>
  </si>
  <si>
    <t>Grumpy</t>
  </si>
  <si>
    <t>Chris</t>
  </si>
  <si>
    <t>Hopkinson</t>
  </si>
  <si>
    <t>California</t>
  </si>
  <si>
    <t>grumpy</t>
  </si>
  <si>
    <t>Guns Lightning</t>
  </si>
  <si>
    <t>Jeremy</t>
  </si>
  <si>
    <t>Jacobson</t>
  </si>
  <si>
    <t>Guttereagle Stabmaster</t>
  </si>
  <si>
    <t>Joshua</t>
  </si>
  <si>
    <t>Stevens</t>
  </si>
  <si>
    <t>Hairy Toddler</t>
  </si>
  <si>
    <t>Spencer</t>
  </si>
  <si>
    <t>Cary</t>
  </si>
  <si>
    <t>Half Rock</t>
  </si>
  <si>
    <t>Austin</t>
  </si>
  <si>
    <t>Leo</t>
  </si>
  <si>
    <t>Hall Pass</t>
  </si>
  <si>
    <t>Shaun</t>
  </si>
  <si>
    <t>Hansen</t>
  </si>
  <si>
    <t>HammerFang</t>
  </si>
  <si>
    <t>Adam</t>
  </si>
  <si>
    <t>Freeman</t>
  </si>
  <si>
    <t>Georgia</t>
  </si>
  <si>
    <t>President</t>
  </si>
  <si>
    <t>Hanoi Cocks</t>
  </si>
  <si>
    <t>Michael</t>
  </si>
  <si>
    <t>Monroe</t>
  </si>
  <si>
    <t>Harry Poppins</t>
  </si>
  <si>
    <t>Josh</t>
  </si>
  <si>
    <t>Krupenny</t>
  </si>
  <si>
    <t>Minnesota</t>
  </si>
  <si>
    <t>Hauley Shore</t>
  </si>
  <si>
    <t>Jamie</t>
  </si>
  <si>
    <t>York</t>
  </si>
  <si>
    <t>Hawk Pusscatrof</t>
  </si>
  <si>
    <t>Allan (AJ)</t>
  </si>
  <si>
    <t>Dyson</t>
  </si>
  <si>
    <t>Ontario</t>
  </si>
  <si>
    <t>Heavy Fingering</t>
  </si>
  <si>
    <t>Carrie</t>
  </si>
  <si>
    <t>Pettit</t>
  </si>
  <si>
    <t>Heiney Heiney Ass Butt</t>
  </si>
  <si>
    <t>Alan</t>
  </si>
  <si>
    <t>Cheek</t>
  </si>
  <si>
    <t>Montana</t>
  </si>
  <si>
    <t>Helicopter Plastic</t>
  </si>
  <si>
    <t>Dustin</t>
  </si>
  <si>
    <t>Mykyte</t>
  </si>
  <si>
    <t>Hell Awaits</t>
  </si>
  <si>
    <t>Mandy</t>
  </si>
  <si>
    <t>Riese</t>
  </si>
  <si>
    <t>Saskatchewan</t>
  </si>
  <si>
    <t>First Lady</t>
  </si>
  <si>
    <t>Heywood Yafistme</t>
  </si>
  <si>
    <t>Wade</t>
  </si>
  <si>
    <t>Schedlosky</t>
  </si>
  <si>
    <t>Hi-Speed Masturbate</t>
  </si>
  <si>
    <t>Liam</t>
  </si>
  <si>
    <t>Waite</t>
  </si>
  <si>
    <t>High Planes Drifter</t>
  </si>
  <si>
    <t>Jonathan</t>
  </si>
  <si>
    <t>Reid</t>
  </si>
  <si>
    <t>Arizona</t>
  </si>
  <si>
    <t>Hiney Tim</t>
  </si>
  <si>
    <t>Christian</t>
  </si>
  <si>
    <t>Haney</t>
  </si>
  <si>
    <t>Hippy Speedball</t>
  </si>
  <si>
    <t>Brandon</t>
  </si>
  <si>
    <t>Landry</t>
  </si>
  <si>
    <t>Home Alone</t>
  </si>
  <si>
    <t>Adam</t>
  </si>
  <si>
    <t>Malone</t>
  </si>
  <si>
    <t>Homerage Butt</t>
  </si>
  <si>
    <t>Geoff</t>
  </si>
  <si>
    <t>Nagle</t>
  </si>
  <si>
    <t>Homo Butt Thumper 3rd</t>
  </si>
  <si>
    <t>Dean</t>
  </si>
  <si>
    <t>Tkachuk</t>
  </si>
  <si>
    <t>Homo Red Dragon</t>
  </si>
  <si>
    <t>Rob</t>
  </si>
  <si>
    <t>Larson</t>
  </si>
  <si>
    <t>Hot Dog</t>
  </si>
  <si>
    <t>Nate</t>
  </si>
  <si>
    <t>Pearo</t>
  </si>
  <si>
    <t>California</t>
  </si>
  <si>
    <t>Serf</t>
  </si>
  <si>
    <t>2014 TJES Intern</t>
  </si>
  <si>
    <t>Hot Dog Enthusiast</t>
  </si>
  <si>
    <t>David</t>
  </si>
  <si>
    <t>Pinardi</t>
  </si>
  <si>
    <t>Hot Dog Rapist</t>
  </si>
  <si>
    <t>Gerrit</t>
  </si>
  <si>
    <t>Johnson</t>
  </si>
  <si>
    <t>Hotbox</t>
  </si>
  <si>
    <t>Justin</t>
  </si>
  <si>
    <t>Kapp</t>
  </si>
  <si>
    <t>Hotdog Flagman</t>
  </si>
  <si>
    <t>Spencer</t>
  </si>
  <si>
    <t>M</t>
  </si>
  <si>
    <t>Howard Sterwason</t>
  </si>
  <si>
    <t>Brent</t>
  </si>
  <si>
    <t>Jellison</t>
  </si>
  <si>
    <t>Huge Muffler</t>
  </si>
  <si>
    <t>Michael</t>
  </si>
  <si>
    <t>Ortegon</t>
  </si>
  <si>
    <t>Huge Tits</t>
  </si>
  <si>
    <t>Dan</t>
  </si>
  <si>
    <t>Dubrule</t>
  </si>
  <si>
    <t>Hyena Fist</t>
  </si>
  <si>
    <t>Steve</t>
  </si>
  <si>
    <t>Cobern</t>
  </si>
  <si>
    <t>Virginia</t>
  </si>
  <si>
    <t>SteveCobern</t>
  </si>
  <si>
    <t>I Eat People</t>
  </si>
  <si>
    <t>Tanner Layne</t>
  </si>
  <si>
    <t>Chadwick</t>
  </si>
  <si>
    <t>I'm Not Your Wad</t>
  </si>
  <si>
    <t>Chuck</t>
  </si>
  <si>
    <t>Spry</t>
  </si>
  <si>
    <t>Alberta</t>
  </si>
  <si>
    <t>spryguy</t>
  </si>
  <si>
    <t>Illegal Beefstorm</t>
  </si>
  <si>
    <t>Kacy Kover</t>
  </si>
  <si>
    <t>Dusek</t>
  </si>
  <si>
    <t>Insecure Vag</t>
  </si>
  <si>
    <t>Rick</t>
  </si>
  <si>
    <t>Power</t>
  </si>
  <si>
    <t>Inspector Log</t>
  </si>
  <si>
    <t>Ryley</t>
  </si>
  <si>
    <t>Ward</t>
  </si>
  <si>
    <t>Irish Dude</t>
  </si>
  <si>
    <t>Kellie</t>
  </si>
  <si>
    <t>Valdez</t>
  </si>
  <si>
    <t>Arizona</t>
  </si>
  <si>
    <t>Queen of the Fam</t>
  </si>
  <si>
    <t>Irish Fuckpuppet</t>
  </si>
  <si>
    <t>Collin</t>
  </si>
  <si>
    <t>Thompson</t>
  </si>
  <si>
    <t>Iron Sharknife</t>
  </si>
  <si>
    <t>Joel</t>
  </si>
  <si>
    <t>Smith</t>
  </si>
  <si>
    <t>Jack Of All Gays</t>
  </si>
  <si>
    <t>Jason</t>
  </si>
  <si>
    <t>Curzon</t>
  </si>
  <si>
    <t>James Vaginabeak</t>
  </si>
  <si>
    <t>Chris</t>
  </si>
  <si>
    <t>Vanderwiel</t>
  </si>
  <si>
    <t>Jaws of Death</t>
  </si>
  <si>
    <t>Bryant</t>
  </si>
  <si>
    <t>Sanderson</t>
  </si>
  <si>
    <t>Texas</t>
  </si>
  <si>
    <t>Jesus Bloodload</t>
  </si>
  <si>
    <t>Rob</t>
  </si>
  <si>
    <t>MacAdam</t>
  </si>
  <si>
    <t>Jesus Fuckin' Christ</t>
  </si>
  <si>
    <t>Colin</t>
  </si>
  <si>
    <t>Blyth</t>
  </si>
  <si>
    <t>Jetta</t>
  </si>
  <si>
    <t>Sean</t>
  </si>
  <si>
    <t>Visser</t>
  </si>
  <si>
    <t>California</t>
  </si>
  <si>
    <t>seanvisser4</t>
  </si>
  <si>
    <t>2013 TJES Intern</t>
  </si>
  <si>
    <t>Jimmy Lee Rutabar</t>
  </si>
  <si>
    <t>Lee</t>
  </si>
  <si>
    <t>Evans</t>
  </si>
  <si>
    <t>Jism Wrangler</t>
  </si>
  <si>
    <t>Lee</t>
  </si>
  <si>
    <t>Bunting</t>
  </si>
  <si>
    <t>Michigan</t>
  </si>
  <si>
    <t>DizmWrangler</t>
  </si>
  <si>
    <t>Jizz Cult</t>
  </si>
  <si>
    <t>Wilson</t>
  </si>
  <si>
    <t>Pendarvis</t>
  </si>
  <si>
    <t>California</t>
  </si>
  <si>
    <t>Pendarvis</t>
  </si>
  <si>
    <t>Knight</t>
  </si>
  <si>
    <t>Jizz Hungry Jimmy</t>
  </si>
  <si>
    <t>Justin</t>
  </si>
  <si>
    <t>Lloyd</t>
  </si>
  <si>
    <t>Jizz Rapist</t>
  </si>
  <si>
    <t>JR</t>
  </si>
  <si>
    <t>Rebo</t>
  </si>
  <si>
    <t>John In Houston</t>
  </si>
  <si>
    <t>John</t>
  </si>
  <si>
    <t>McGovern</t>
  </si>
  <si>
    <t>Texas</t>
  </si>
  <si>
    <t>JohnMcG</t>
  </si>
  <si>
    <t>President</t>
  </si>
  <si>
    <t>John Von Boner</t>
  </si>
  <si>
    <t>John</t>
  </si>
  <si>
    <t>Holthusen</t>
  </si>
  <si>
    <t>John Wayne Hobbit</t>
  </si>
  <si>
    <t>Josh</t>
  </si>
  <si>
    <t>Goldring</t>
  </si>
  <si>
    <t>Johnny Johnny Fuck Fuck</t>
  </si>
  <si>
    <t>Jonny</t>
  </si>
  <si>
    <t>Galindo</t>
  </si>
  <si>
    <t>Joshua Tree Jeffrey</t>
  </si>
  <si>
    <t>Joshua Lee</t>
  </si>
  <si>
    <t>Jeffrey</t>
  </si>
  <si>
    <t>Jr Jr The Third</t>
  </si>
  <si>
    <t>Clinton</t>
  </si>
  <si>
    <t>Birch III</t>
  </si>
  <si>
    <t>Juice Hooker</t>
  </si>
  <si>
    <t>Jesse</t>
  </si>
  <si>
    <t>Tedford</t>
  </si>
  <si>
    <t>Junkyard Hog</t>
  </si>
  <si>
    <t>Brian</t>
  </si>
  <si>
    <t>Hooper</t>
  </si>
  <si>
    <t>K-Hole</t>
  </si>
  <si>
    <t>Kellie</t>
  </si>
  <si>
    <t>Wereschuk</t>
  </si>
  <si>
    <t>British Columbia</t>
  </si>
  <si>
    <t>Kill Kill Kill</t>
  </si>
  <si>
    <t>Ryan</t>
  </si>
  <si>
    <t>Killian</t>
  </si>
  <si>
    <t>Kojack</t>
  </si>
  <si>
    <t>Edward</t>
  </si>
  <si>
    <t>Talley</t>
  </si>
  <si>
    <t>Kyron Pepper</t>
  </si>
  <si>
    <t>Kyron</t>
  </si>
  <si>
    <t>Eberle</t>
  </si>
  <si>
    <t>La Vag Di Mor</t>
  </si>
  <si>
    <t>Destiny</t>
  </si>
  <si>
    <t>Shields</t>
  </si>
  <si>
    <t>Lance Arm Queef</t>
  </si>
  <si>
    <t>Lance</t>
  </si>
  <si>
    <t>Piffero</t>
  </si>
  <si>
    <t>Large Dick Johnson</t>
  </si>
  <si>
    <t>Jason</t>
  </si>
  <si>
    <t>VanKilsdonk</t>
  </si>
  <si>
    <t>Arizona</t>
  </si>
  <si>
    <t>Vice President</t>
  </si>
  <si>
    <t>Larry Birdshit</t>
  </si>
  <si>
    <t>Paul</t>
  </si>
  <si>
    <t>Maloof</t>
  </si>
  <si>
    <t>Massachusetts</t>
  </si>
  <si>
    <t>President</t>
  </si>
  <si>
    <t>Legroom</t>
  </si>
  <si>
    <t>Peter</t>
  </si>
  <si>
    <t>Ruiz</t>
  </si>
  <si>
    <t>Lick Dickson</t>
  </si>
  <si>
    <t>Casey</t>
  </si>
  <si>
    <t>Morgan</t>
  </si>
  <si>
    <t>Lightning Tampon Sucker</t>
  </si>
  <si>
    <t>Ross</t>
  </si>
  <si>
    <t>MacRae</t>
  </si>
  <si>
    <t>Lil' Miss Ellis</t>
  </si>
  <si>
    <t>Jason</t>
  </si>
  <si>
    <t>Kutno</t>
  </si>
  <si>
    <t>California</t>
  </si>
  <si>
    <t>LilMissEllis</t>
  </si>
  <si>
    <t>First Mistress</t>
  </si>
  <si>
    <t>1st Lil' Miss Ellis (2013)</t>
  </si>
  <si>
    <t>Little Joe</t>
  </si>
  <si>
    <t>Brian</t>
  </si>
  <si>
    <t>Finzer</t>
  </si>
  <si>
    <t>Load Explosion</t>
  </si>
  <si>
    <t>Jay</t>
  </si>
  <si>
    <t>Nelson</t>
  </si>
  <si>
    <t>Lognuts</t>
  </si>
  <si>
    <t>Scott</t>
  </si>
  <si>
    <t>Sullivan</t>
  </si>
  <si>
    <t>Lonely Windicks</t>
  </si>
  <si>
    <t>Cole</t>
  </si>
  <si>
    <t>Mysko</t>
  </si>
  <si>
    <t>Long Island Lolita</t>
  </si>
  <si>
    <t>Josh</t>
  </si>
  <si>
    <t>Fisher</t>
  </si>
  <si>
    <t>Loogie Hauser</t>
  </si>
  <si>
    <t>Logan</t>
  </si>
  <si>
    <t>Schaub</t>
  </si>
  <si>
    <t>Lord Of Laptops</t>
  </si>
  <si>
    <t>Michael</t>
  </si>
  <si>
    <t>Grace</t>
  </si>
  <si>
    <t>Low Carb Andy</t>
  </si>
  <si>
    <t>Andrew</t>
  </si>
  <si>
    <t>Adkins</t>
  </si>
  <si>
    <t>Lube Cheetos</t>
  </si>
  <si>
    <t>Nathan</t>
  </si>
  <si>
    <t>Bowden</t>
  </si>
  <si>
    <t>Lube Eagle</t>
  </si>
  <si>
    <t>Andrew</t>
  </si>
  <si>
    <t>Fahrion</t>
  </si>
  <si>
    <t>Lube Slickback</t>
  </si>
  <si>
    <t>Chris</t>
  </si>
  <si>
    <t>Edmundson</t>
  </si>
  <si>
    <t>Lube Suit</t>
  </si>
  <si>
    <t>Blair</t>
  </si>
  <si>
    <t>Holierhoek</t>
  </si>
  <si>
    <t>Luggy Hauser</t>
  </si>
  <si>
    <t>Logan A</t>
  </si>
  <si>
    <t>Mullen</t>
  </si>
  <si>
    <t>Luke Gayfucker</t>
  </si>
  <si>
    <t>Luke</t>
  </si>
  <si>
    <t>Rounds</t>
  </si>
  <si>
    <t>Macordian</t>
  </si>
  <si>
    <t>Tony</t>
  </si>
  <si>
    <t>McCord</t>
  </si>
  <si>
    <t>Ohio</t>
  </si>
  <si>
    <t>biscuittm</t>
  </si>
  <si>
    <t>Maggot Boy (From Maggot Creek)</t>
  </si>
  <si>
    <t>Neil</t>
  </si>
  <si>
    <t>Ross</t>
  </si>
  <si>
    <t>Maggot Creek</t>
  </si>
  <si>
    <t>Magnus Magnuson</t>
  </si>
  <si>
    <t>Kyle</t>
  </si>
  <si>
    <t>Doerksen</t>
  </si>
  <si>
    <t>Maneater</t>
  </si>
  <si>
    <t>Seth</t>
  </si>
  <si>
    <t>Gravdahl</t>
  </si>
  <si>
    <t>Maple Beav</t>
  </si>
  <si>
    <t>Jennifer</t>
  </si>
  <si>
    <t>Mclean</t>
  </si>
  <si>
    <t>Marky Mark</t>
  </si>
  <si>
    <t>Nate</t>
  </si>
  <si>
    <t>Phillips</t>
  </si>
  <si>
    <t>Illinois</t>
  </si>
  <si>
    <t>VioletShadow</t>
  </si>
  <si>
    <t>President</t>
  </si>
  <si>
    <t>Matmonster</t>
  </si>
  <si>
    <t>Keith</t>
  </si>
  <si>
    <t>Matthews</t>
  </si>
  <si>
    <t>Tennessee</t>
  </si>
  <si>
    <t>Matmonster</t>
  </si>
  <si>
    <t>MC Funbags</t>
  </si>
  <si>
    <t>Mike</t>
  </si>
  <si>
    <t>Ackles</t>
  </si>
  <si>
    <t>Meatpie</t>
  </si>
  <si>
    <t>Will</t>
  </si>
  <si>
    <t>Baker</t>
  </si>
  <si>
    <t>California</t>
  </si>
  <si>
    <t>meatovich</t>
  </si>
  <si>
    <t>Mech &amp; Cheese</t>
  </si>
  <si>
    <t>Tyson</t>
  </si>
  <si>
    <t>Kochan</t>
  </si>
  <si>
    <t>Medium Sized Tranny</t>
  </si>
  <si>
    <t>David</t>
  </si>
  <si>
    <t>Wourms</t>
  </si>
  <si>
    <t>Meow Felch</t>
  </si>
  <si>
    <t>Cam</t>
  </si>
  <si>
    <t>Strey</t>
  </si>
  <si>
    <t>Meryl Streep</t>
  </si>
  <si>
    <t>Scott</t>
  </si>
  <si>
    <t>Malone</t>
  </si>
  <si>
    <t>Oregon</t>
  </si>
  <si>
    <t>scottsriverbound</t>
  </si>
  <si>
    <t>Michael Felch</t>
  </si>
  <si>
    <t>Gabriel</t>
  </si>
  <si>
    <t>Guardarramas</t>
  </si>
  <si>
    <t>Michael Shitlips</t>
  </si>
  <si>
    <t>Coby</t>
  </si>
  <si>
    <t>Shields</t>
  </si>
  <si>
    <t>Miguel Gorbachev</t>
  </si>
  <si>
    <t>Miguel (Mike)</t>
  </si>
  <si>
    <t>Nevarez</t>
  </si>
  <si>
    <t>Texas</t>
  </si>
  <si>
    <t>mikenevarez214</t>
  </si>
  <si>
    <t>Mike Hawk</t>
  </si>
  <si>
    <t>Jay</t>
  </si>
  <si>
    <t>Roberts</t>
  </si>
  <si>
    <t>Mike In Canada</t>
  </si>
  <si>
    <t>Mike</t>
  </si>
  <si>
    <t>Alberta</t>
  </si>
  <si>
    <t>MikeCanada</t>
  </si>
  <si>
    <t>Prime Minister</t>
  </si>
  <si>
    <t>Milfucker</t>
  </si>
  <si>
    <t>Joshua</t>
  </si>
  <si>
    <t>Thompson</t>
  </si>
  <si>
    <t>Monkey Cunt</t>
  </si>
  <si>
    <t>Tim</t>
  </si>
  <si>
    <t>Grazier</t>
  </si>
  <si>
    <t>Manitoba</t>
  </si>
  <si>
    <t>Prime Minister</t>
  </si>
  <si>
    <t>Moose Smutplay</t>
  </si>
  <si>
    <t>Jeff</t>
  </si>
  <si>
    <t>Waddle</t>
  </si>
  <si>
    <t>Mr. Chick</t>
  </si>
  <si>
    <t>Brady</t>
  </si>
  <si>
    <t>Courtney</t>
  </si>
  <si>
    <t>Mr. Fister</t>
  </si>
  <si>
    <t>Jared</t>
  </si>
  <si>
    <t>Gibbs</t>
  </si>
  <si>
    <t>Utah</t>
  </si>
  <si>
    <t>President</t>
  </si>
  <si>
    <t>Mr. Fuzzy Bottom</t>
  </si>
  <si>
    <t>Justin</t>
  </si>
  <si>
    <t>Hollingsworth</t>
  </si>
  <si>
    <t>Mr. Wanker</t>
  </si>
  <si>
    <t>Patrick</t>
  </si>
  <si>
    <t>Baker</t>
  </si>
  <si>
    <t>Mr. Yeah</t>
  </si>
  <si>
    <t>Les</t>
  </si>
  <si>
    <t>McIvor</t>
  </si>
  <si>
    <t>Manitoba</t>
  </si>
  <si>
    <t>McKaI37</t>
  </si>
  <si>
    <t>Mrs. Bottom Fuzz</t>
  </si>
  <si>
    <t>Tessa</t>
  </si>
  <si>
    <t>Hollingsworth</t>
  </si>
  <si>
    <t>Mrs. Dudefire</t>
  </si>
  <si>
    <t>Paige</t>
  </si>
  <si>
    <t>Bourne</t>
  </si>
  <si>
    <t>paigebourne</t>
  </si>
  <si>
    <t>My Mom Is Hot</t>
  </si>
  <si>
    <t>Matt</t>
  </si>
  <si>
    <t>Anderson</t>
  </si>
  <si>
    <t>Colorado</t>
  </si>
  <si>
    <t>My Pretty Claw</t>
  </si>
  <si>
    <t>Cody</t>
  </si>
  <si>
    <t>Maddox</t>
  </si>
  <si>
    <t>Napalm Turd</t>
  </si>
  <si>
    <t>Dan</t>
  </si>
  <si>
    <t>Beecroft</t>
  </si>
  <si>
    <t>Nathan Dunn</t>
  </si>
  <si>
    <t>Dathan</t>
  </si>
  <si>
    <t>Nunn</t>
  </si>
  <si>
    <t>Neal Bob</t>
  </si>
  <si>
    <t>Robert</t>
  </si>
  <si>
    <t>Miles</t>
  </si>
  <si>
    <t>Neck Toddler</t>
  </si>
  <si>
    <t>Paul</t>
  </si>
  <si>
    <t>Berthot</t>
  </si>
  <si>
    <t>Needledick</t>
  </si>
  <si>
    <t>Mario</t>
  </si>
  <si>
    <t>Marquez</t>
  </si>
  <si>
    <t>Texas</t>
  </si>
  <si>
    <t>marqz</t>
  </si>
  <si>
    <t>Night Slut</t>
  </si>
  <si>
    <t>Nick</t>
  </si>
  <si>
    <t>Rossetti</t>
  </si>
  <si>
    <t>Nevada</t>
  </si>
  <si>
    <t>Vice President</t>
  </si>
  <si>
    <t>Ninja Flying Edgell</t>
  </si>
  <si>
    <t>Ethan</t>
  </si>
  <si>
    <t>Edgell</t>
  </si>
  <si>
    <t>Tennessee</t>
  </si>
  <si>
    <t>Nipplopolis</t>
  </si>
  <si>
    <t>Amy</t>
  </si>
  <si>
    <t>Reid</t>
  </si>
  <si>
    <t>Arizona</t>
  </si>
  <si>
    <t>nipplopolis</t>
  </si>
  <si>
    <t>First Lady</t>
  </si>
  <si>
    <t>Nobody's Listening</t>
  </si>
  <si>
    <t>Paul</t>
  </si>
  <si>
    <t>Malotke</t>
  </si>
  <si>
    <t>Ol' Scabby</t>
  </si>
  <si>
    <t>Eric</t>
  </si>
  <si>
    <t>Poirier</t>
  </si>
  <si>
    <t>Old Softee</t>
  </si>
  <si>
    <t>Ryland</t>
  </si>
  <si>
    <t>Rodman</t>
  </si>
  <si>
    <t>Omnipotent Anemone</t>
  </si>
  <si>
    <t>Nick</t>
  </si>
  <si>
    <t>Stene</t>
  </si>
  <si>
    <t>California</t>
  </si>
  <si>
    <t>One Girl Magoo</t>
  </si>
  <si>
    <t>Jeremy</t>
  </si>
  <si>
    <t>Gray</t>
  </si>
  <si>
    <t>Pennsylvania</t>
  </si>
  <si>
    <t>jgray8450</t>
  </si>
  <si>
    <t>Oscar de la Hoya</t>
  </si>
  <si>
    <t>Victor</t>
  </si>
  <si>
    <t>Villa</t>
  </si>
  <si>
    <t>Texas</t>
  </si>
  <si>
    <t>Overgrown SeaMonkey</t>
  </si>
  <si>
    <t>Jeff</t>
  </si>
  <si>
    <t>Haider</t>
  </si>
  <si>
    <t>North Dakota</t>
  </si>
  <si>
    <t>P Wad</t>
  </si>
  <si>
    <t>David</t>
  </si>
  <si>
    <t>Schweitz</t>
  </si>
  <si>
    <t>Arizona</t>
  </si>
  <si>
    <t>Schweitz</t>
  </si>
  <si>
    <t>Pablo Diablo</t>
  </si>
  <si>
    <t>Nic</t>
  </si>
  <si>
    <t>Casso</t>
  </si>
  <si>
    <t>Parasite Hilton</t>
  </si>
  <si>
    <t>Matt</t>
  </si>
  <si>
    <t>MacDonald</t>
  </si>
  <si>
    <t>Patrick Dumpsey</t>
  </si>
  <si>
    <t>Patrick</t>
  </si>
  <si>
    <t>Horgan</t>
  </si>
  <si>
    <t>Paul Balls</t>
  </si>
  <si>
    <t>Paul</t>
  </si>
  <si>
    <t>Coombs</t>
  </si>
  <si>
    <t>Pee Soup</t>
  </si>
  <si>
    <t>Nicole</t>
  </si>
  <si>
    <t>Edwards</t>
  </si>
  <si>
    <t>Pee Soup</t>
  </si>
  <si>
    <t>Nicole</t>
  </si>
  <si>
    <t>Edwards</t>
  </si>
  <si>
    <t>New Brunswick</t>
  </si>
  <si>
    <t>sdrawdeelocin</t>
  </si>
  <si>
    <t>First Lady</t>
  </si>
  <si>
    <t>Peeping Creep</t>
  </si>
  <si>
    <t>Christian</t>
  </si>
  <si>
    <t>Wendenburg</t>
  </si>
  <si>
    <t>Texas</t>
  </si>
  <si>
    <t>Penis Shins</t>
  </si>
  <si>
    <t>Adam</t>
  </si>
  <si>
    <t>Porozni</t>
  </si>
  <si>
    <t>Period Boogers</t>
  </si>
  <si>
    <t>Alan</t>
  </si>
  <si>
    <t>Tamplin</t>
  </si>
  <si>
    <t>Phat Albert</t>
  </si>
  <si>
    <t>Al</t>
  </si>
  <si>
    <t>Berthiaume</t>
  </si>
  <si>
    <t>Ontario</t>
  </si>
  <si>
    <t>Phil Anthropist</t>
  </si>
  <si>
    <t>Peter</t>
  </si>
  <si>
    <t>Goertzen</t>
  </si>
  <si>
    <t>Phil My Ass In With Dicks</t>
  </si>
  <si>
    <t>Phil</t>
  </si>
  <si>
    <t>Dauphinee</t>
  </si>
  <si>
    <t>British Columbia</t>
  </si>
  <si>
    <t>Phillybobb</t>
  </si>
  <si>
    <t>Robert</t>
  </si>
  <si>
    <t>S</t>
  </si>
  <si>
    <t>Ping Pong Glowstick</t>
  </si>
  <si>
    <t>Brody</t>
  </si>
  <si>
    <t>Peck</t>
  </si>
  <si>
    <t>Pink Power Ranger</t>
  </si>
  <si>
    <t>Todd</t>
  </si>
  <si>
    <t>Alamo</t>
  </si>
  <si>
    <t>Washington</t>
  </si>
  <si>
    <t>alamoaz</t>
  </si>
  <si>
    <t>Piss Fart</t>
  </si>
  <si>
    <t>Aaron</t>
  </si>
  <si>
    <t>Hust</t>
  </si>
  <si>
    <t>Pissburger</t>
  </si>
  <si>
    <t>AJ</t>
  </si>
  <si>
    <t>LaBelle</t>
  </si>
  <si>
    <t>Pittsburger LadyBoy</t>
  </si>
  <si>
    <t>Nick</t>
  </si>
  <si>
    <t>Bernardi</t>
  </si>
  <si>
    <t>Pluck Liddell</t>
  </si>
  <si>
    <t>Dan</t>
  </si>
  <si>
    <t>Doughty</t>
  </si>
  <si>
    <t>Polish Dinosaur</t>
  </si>
  <si>
    <t>Martin</t>
  </si>
  <si>
    <t>Broniszeski</t>
  </si>
  <si>
    <t>Poo Enthusiast</t>
  </si>
  <si>
    <t>Jason</t>
  </si>
  <si>
    <t>Behnke</t>
  </si>
  <si>
    <t>California</t>
  </si>
  <si>
    <t>Poo Fingers McGee</t>
  </si>
  <si>
    <t>Chris</t>
  </si>
  <si>
    <t>Ackerman</t>
  </si>
  <si>
    <t>Pool Hogan</t>
  </si>
  <si>
    <t>Shane</t>
  </si>
  <si>
    <t>Sawdon</t>
  </si>
  <si>
    <t>Poor Bastard</t>
  </si>
  <si>
    <t>Ben</t>
  </si>
  <si>
    <t>McMillan</t>
  </si>
  <si>
    <t>British Columbia</t>
  </si>
  <si>
    <t>dub97gt</t>
  </si>
  <si>
    <t>Poor Man's Gary Coleman</t>
  </si>
  <si>
    <t>Josh</t>
  </si>
  <si>
    <t>Webster</t>
  </si>
  <si>
    <t>Pope Lucifer The Third</t>
  </si>
  <si>
    <t>Chris</t>
  </si>
  <si>
    <t>Walker</t>
  </si>
  <si>
    <t>Indiana</t>
  </si>
  <si>
    <t>PopeLucifer3</t>
  </si>
  <si>
    <t>Portuguese Nipple</t>
  </si>
  <si>
    <t>Ty</t>
  </si>
  <si>
    <t>Frederick</t>
  </si>
  <si>
    <t>Pot Blocker</t>
  </si>
  <si>
    <t>Stephen</t>
  </si>
  <si>
    <t>Kelly</t>
  </si>
  <si>
    <t>Pre Cum</t>
  </si>
  <si>
    <t>Michael</t>
  </si>
  <si>
    <t>Porter</t>
  </si>
  <si>
    <t>Predator Magnum</t>
  </si>
  <si>
    <t>Jon</t>
  </si>
  <si>
    <t> White</t>
  </si>
  <si>
    <t>Premium Sack</t>
  </si>
  <si>
    <t>Brian</t>
  </si>
  <si>
    <t>Davis</t>
  </si>
  <si>
    <t>President Death</t>
  </si>
  <si>
    <t>Mason</t>
  </si>
  <si>
    <t>Kay</t>
  </si>
  <si>
    <t>Texas</t>
  </si>
  <si>
    <t>President Squatch</t>
  </si>
  <si>
    <t>Justin</t>
  </si>
  <si>
    <t>Duke</t>
  </si>
  <si>
    <t>Pretty Shit</t>
  </si>
  <si>
    <t>Julie</t>
  </si>
  <si>
    <t>Anderson</t>
  </si>
  <si>
    <t>Prickle Knob</t>
  </si>
  <si>
    <t>Andrew</t>
  </si>
  <si>
    <t>Jonz</t>
  </si>
  <si>
    <t>Prime Minister Big Tits</t>
  </si>
  <si>
    <t>Ted</t>
  </si>
  <si>
    <t>Walker</t>
  </si>
  <si>
    <t>Wyoming</t>
  </si>
  <si>
    <t>Princess Gonorrhea</t>
  </si>
  <si>
    <t>Brittan</t>
  </si>
  <si>
    <t>Hussing</t>
  </si>
  <si>
    <t>Pterodactyl Tits</t>
  </si>
  <si>
    <t>Brendan</t>
  </si>
  <si>
    <t>Baker</t>
  </si>
  <si>
    <t>Pube Mucus</t>
  </si>
  <si>
    <t>Chris</t>
  </si>
  <si>
    <t>McLellan</t>
  </si>
  <si>
    <t>Publick Enemy Numero Uno</t>
  </si>
  <si>
    <t>Erik</t>
  </si>
  <si>
    <t>Capwell</t>
  </si>
  <si>
    <t>Puppetmaster</t>
  </si>
  <si>
    <t>Jason</t>
  </si>
  <si>
    <t>H</t>
  </si>
  <si>
    <t>Georgia</t>
  </si>
  <si>
    <t>Puppy Hitler</t>
  </si>
  <si>
    <t>Joshua</t>
  </si>
  <si>
    <t>Bowie</t>
  </si>
  <si>
    <t>Purple Belt</t>
  </si>
  <si>
    <t>Jacob</t>
  </si>
  <si>
    <t>Kurtz</t>
  </si>
  <si>
    <t>Pusherman</t>
  </si>
  <si>
    <t>David</t>
  </si>
  <si>
    <t>Jaekel</t>
  </si>
  <si>
    <t>California</t>
  </si>
  <si>
    <t>Pussy Gills</t>
  </si>
  <si>
    <t>Rick</t>
  </si>
  <si>
    <t>Fothergill</t>
  </si>
  <si>
    <t>Pussy Vag</t>
  </si>
  <si>
    <t>Jay</t>
  </si>
  <si>
    <t>Murphy</t>
  </si>
  <si>
    <t>Nova Scotia</t>
  </si>
  <si>
    <t>Prime Minister</t>
  </si>
  <si>
    <t>Queef Garret</t>
  </si>
  <si>
    <t>Jewel</t>
  </si>
  <si>
    <t>McKeon</t>
  </si>
  <si>
    <t>Queef Jardine</t>
  </si>
  <si>
    <t>Adam</t>
  </si>
  <si>
    <t>Ellis</t>
  </si>
  <si>
    <t>Queef Latina</t>
  </si>
  <si>
    <t>Seth</t>
  </si>
  <si>
    <t>Sandwick</t>
  </si>
  <si>
    <t>Queef Richards</t>
  </si>
  <si>
    <t>Bailey</t>
  </si>
  <si>
    <t>Johnson</t>
  </si>
  <si>
    <t>Saskatchewan</t>
  </si>
  <si>
    <t>Queef Rippington</t>
  </si>
  <si>
    <t>Clint</t>
  </si>
  <si>
    <t>Martin</t>
  </si>
  <si>
    <t>Rachel Felch</t>
  </si>
  <si>
    <t>Tim</t>
  </si>
  <si>
    <t>Urban</t>
  </si>
  <si>
    <t>Racist Biceps</t>
  </si>
  <si>
    <t>Chevy</t>
  </si>
  <si>
    <t>Cawlfield</t>
  </si>
  <si>
    <t>Radio Behm</t>
  </si>
  <si>
    <t>Steven</t>
  </si>
  <si>
    <t>Behm</t>
  </si>
  <si>
    <t>Rainman</t>
  </si>
  <si>
    <t>Nick</t>
  </si>
  <si>
    <t>Raines</t>
  </si>
  <si>
    <t>Washington</t>
  </si>
  <si>
    <t>RainmanN</t>
  </si>
  <si>
    <t>President</t>
  </si>
  <si>
    <t>Rancid Splooge</t>
  </si>
  <si>
    <t>Sammi</t>
  </si>
  <si>
    <t>Krupenny</t>
  </si>
  <si>
    <t>Minnesota</t>
  </si>
  <si>
    <t>Raw Dog</t>
  </si>
  <si>
    <t>Josh</t>
  </si>
  <si>
    <t>Richmond</t>
  </si>
  <si>
    <t>California</t>
  </si>
  <si>
    <t>Illusionist</t>
  </si>
  <si>
    <t>Rawdogg's Sexy Sister</t>
  </si>
  <si>
    <t>AJ</t>
  </si>
  <si>
    <t>Slagan</t>
  </si>
  <si>
    <t>California</t>
  </si>
  <si>
    <t>LordKaos</t>
  </si>
  <si>
    <t>Real Housewife</t>
  </si>
  <si>
    <t>Craig</t>
  </si>
  <si>
    <t>Morgan</t>
  </si>
  <si>
    <t>Reverse Poo Davis</t>
  </si>
  <si>
    <t>Artem</t>
  </si>
  <si>
    <t>Larionov</t>
  </si>
  <si>
    <t>Rich Booty</t>
  </si>
  <si>
    <t>Will</t>
  </si>
  <si>
    <t>McGregor</t>
  </si>
  <si>
    <t>Rick Fox's Cumrag</t>
  </si>
  <si>
    <t>Jorie</t>
  </si>
  <si>
    <t>Halcro</t>
  </si>
  <si>
    <t>Saskatchewan</t>
  </si>
  <si>
    <t>Rickie Dick</t>
  </si>
  <si>
    <t>Dave</t>
  </si>
  <si>
    <t>Davidson</t>
  </si>
  <si>
    <t>Ricky Bobby</t>
  </si>
  <si>
    <t>James</t>
  </si>
  <si>
    <t>Bryan</t>
  </si>
  <si>
    <t>Rigo Morty Freedman</t>
  </si>
  <si>
    <t>Alex</t>
  </si>
  <si>
    <t>Avila</t>
  </si>
  <si>
    <t>Robowhipped</t>
  </si>
  <si>
    <t>Ryan</t>
  </si>
  <si>
    <t>Zurborg</t>
  </si>
  <si>
    <t>Rocket Corn</t>
  </si>
  <si>
    <t>Josh</t>
  </si>
  <si>
    <t>Marshall</t>
  </si>
  <si>
    <t>Ron Artesticles</t>
  </si>
  <si>
    <t>Jesse</t>
  </si>
  <si>
    <t>Prebula</t>
  </si>
  <si>
    <t>Michigan</t>
  </si>
  <si>
    <t>Rubber Dinero</t>
  </si>
  <si>
    <t>Geoff</t>
  </si>
  <si>
    <t>Hanson</t>
  </si>
  <si>
    <t>Rude Chode</t>
  </si>
  <si>
    <t>Chad</t>
  </si>
  <si>
    <t>Miller</t>
  </si>
  <si>
    <t>Russian Whore Fucker</t>
  </si>
  <si>
    <t>Curt</t>
  </si>
  <si>
    <t>H</t>
  </si>
  <si>
    <t>California</t>
  </si>
  <si>
    <t>Ryan Bunghole</t>
  </si>
  <si>
    <t>Ryan</t>
  </si>
  <si>
    <t>Kasper</t>
  </si>
  <si>
    <t>Colorado</t>
  </si>
  <si>
    <t>rvkasper</t>
  </si>
  <si>
    <t>Ryan Johnquist</t>
  </si>
  <si>
    <t>John</t>
  </si>
  <si>
    <t>Quist</t>
  </si>
  <si>
    <t>Ryan Shitler</t>
  </si>
  <si>
    <t>Rob</t>
  </si>
  <si>
    <t>Turgeon</t>
  </si>
  <si>
    <t>Sack Johnson</t>
  </si>
  <si>
    <t>Derek</t>
  </si>
  <si>
    <t>Johnson</t>
  </si>
  <si>
    <t>Salty Pete</t>
  </si>
  <si>
    <t>Steven</t>
  </si>
  <si>
    <t>Sasquatch Doctor</t>
  </si>
  <si>
    <t>Devin</t>
  </si>
  <si>
    <t>Brenner</t>
  </si>
  <si>
    <t>Satan's Ballbag</t>
  </si>
  <si>
    <t>Jordan</t>
  </si>
  <si>
    <t>Davis</t>
  </si>
  <si>
    <t>Satanic Bull Rape</t>
  </si>
  <si>
    <t>Tim</t>
  </si>
  <si>
    <t>Jackson</t>
  </si>
  <si>
    <t>Saved By The Balls</t>
  </si>
  <si>
    <t>Malcom</t>
  </si>
  <si>
    <t>Belding</t>
  </si>
  <si>
    <t>Scabby 2 Dope</t>
  </si>
  <si>
    <t>Sterling Miles</t>
  </si>
  <si>
    <t>Thayse</t>
  </si>
  <si>
    <t>Scabracadabra</t>
  </si>
  <si>
    <t>David</t>
  </si>
  <si>
    <t>T</t>
  </si>
  <si>
    <t>Connecticut</t>
  </si>
  <si>
    <t>Majin</t>
  </si>
  <si>
    <t>Scleroshima</t>
  </si>
  <si>
    <t>Kevin</t>
  </si>
  <si>
    <t>Dick</t>
  </si>
  <si>
    <t>Scott Stapp</t>
  </si>
  <si>
    <t>Keith</t>
  </si>
  <si>
    <t>May</t>
  </si>
  <si>
    <t>Nebraska</t>
  </si>
  <si>
    <t>President</t>
  </si>
  <si>
    <t>Scuba Gooding Jr.</t>
  </si>
  <si>
    <t>Tom</t>
  </si>
  <si>
    <t>S</t>
  </si>
  <si>
    <t>California</t>
  </si>
  <si>
    <t>Tom2953051</t>
  </si>
  <si>
    <t>Sean Ball Gaultier</t>
  </si>
  <si>
    <t>Sean</t>
  </si>
  <si>
    <t>Ball</t>
  </si>
  <si>
    <t>Semen Segal</t>
  </si>
  <si>
    <t>Adam</t>
  </si>
  <si>
    <t>Fry</t>
  </si>
  <si>
    <t>Alberta</t>
  </si>
  <si>
    <t>Minister of Defense</t>
  </si>
  <si>
    <t>Sexual Bowling Ball</t>
  </si>
  <si>
    <t>Emily</t>
  </si>
  <si>
    <t>Hollister</t>
  </si>
  <si>
    <t>California</t>
  </si>
  <si>
    <t>STDNewsChick</t>
  </si>
  <si>
    <t>First Lady</t>
  </si>
  <si>
    <t>Sgt. LaDouche</t>
  </si>
  <si>
    <t>Rory</t>
  </si>
  <si>
    <t>LaDuke</t>
  </si>
  <si>
    <t>Sgt. Log Potty</t>
  </si>
  <si>
    <t>Taylor</t>
  </si>
  <si>
    <t>Huckfeldt</t>
  </si>
  <si>
    <t>Sgt. Shitbag</t>
  </si>
  <si>
    <t>Michael</t>
  </si>
  <si>
    <t>Adams</t>
  </si>
  <si>
    <t>California</t>
  </si>
  <si>
    <t>Shaft Clinch</t>
  </si>
  <si>
    <t>John</t>
  </si>
  <si>
    <t>Schaeffer</t>
  </si>
  <si>
    <t>Shaft Driver</t>
  </si>
  <si>
    <t>Leigh</t>
  </si>
  <si>
    <t>Martin</t>
  </si>
  <si>
    <t>Shark Dick</t>
  </si>
  <si>
    <t>Steve</t>
  </si>
  <si>
    <t>Day</t>
  </si>
  <si>
    <t>Sherlock Loads</t>
  </si>
  <si>
    <t>Alex</t>
  </si>
  <si>
    <t>Moskoff</t>
  </si>
  <si>
    <t>Shiny Horselog</t>
  </si>
  <si>
    <t>Jesse</t>
  </si>
  <si>
    <t>Groeneveld</t>
  </si>
  <si>
    <t>Shiny Knob</t>
  </si>
  <si>
    <t>Austin</t>
  </si>
  <si>
    <t>Darbyshire</t>
  </si>
  <si>
    <t>Shit</t>
  </si>
  <si>
    <t>Mike</t>
  </si>
  <si>
    <t>Hinch</t>
  </si>
  <si>
    <t>Shit Creek</t>
  </si>
  <si>
    <t>Mark</t>
  </si>
  <si>
    <t>Hudson</t>
  </si>
  <si>
    <t>Michigan</t>
  </si>
  <si>
    <t>Bloodfart96</t>
  </si>
  <si>
    <t>Shit Fisterson</t>
  </si>
  <si>
    <t>Kyle</t>
  </si>
  <si>
    <t>Greer</t>
  </si>
  <si>
    <t>Shit Mom</t>
  </si>
  <si>
    <t>Greg</t>
  </si>
  <si>
    <t>McCarney</t>
  </si>
  <si>
    <t>Shit Tennis</t>
  </si>
  <si>
    <t>Mike</t>
  </si>
  <si>
    <t>Medland</t>
  </si>
  <si>
    <t>Shit Toboggan</t>
  </si>
  <si>
    <t>Alex</t>
  </si>
  <si>
    <t>Reed</t>
  </si>
  <si>
    <t>California</t>
  </si>
  <si>
    <t>finethenfuckyoutoo</t>
  </si>
  <si>
    <t>Shit Warrior</t>
  </si>
  <si>
    <t>Dustin</t>
  </si>
  <si>
    <t>Ikert</t>
  </si>
  <si>
    <t>Shitkicker</t>
  </si>
  <si>
    <t>Mike</t>
  </si>
  <si>
    <t>Kickham</t>
  </si>
  <si>
    <t>Shitkira</t>
  </si>
  <si>
    <t>Sean</t>
  </si>
  <si>
    <t>McElroy</t>
  </si>
  <si>
    <t>Shoctopuss</t>
  </si>
  <si>
    <t>Tyler</t>
  </si>
  <si>
    <t>Jacobson</t>
  </si>
  <si>
    <t>Skull Bone</t>
  </si>
  <si>
    <t>Nicolas</t>
  </si>
  <si>
    <t>McCarney</t>
  </si>
  <si>
    <t>Slayer McAnthrax</t>
  </si>
  <si>
    <t>Lyle</t>
  </si>
  <si>
    <t>McKinley</t>
  </si>
  <si>
    <t>Sleep Breeder</t>
  </si>
  <si>
    <t>Jason</t>
  </si>
  <si>
    <t>McDonald</t>
  </si>
  <si>
    <t>Sleepy Joe</t>
  </si>
  <si>
    <t>Joe</t>
  </si>
  <si>
    <t>Nelson</t>
  </si>
  <si>
    <t>Oregon</t>
  </si>
  <si>
    <t>SleepyJoe</t>
  </si>
  <si>
    <t>President</t>
  </si>
  <si>
    <t>Slippery Rick</t>
  </si>
  <si>
    <t>Kevin</t>
  </si>
  <si>
    <t>Ouellette</t>
  </si>
  <si>
    <t>Smashing Stabfire</t>
  </si>
  <si>
    <t>AJ</t>
  </si>
  <si>
    <t>Metauro</t>
  </si>
  <si>
    <t>Smoke My Eel</t>
  </si>
  <si>
    <t>Jerrod</t>
  </si>
  <si>
    <t>Webster</t>
  </si>
  <si>
    <t>Snoop Log</t>
  </si>
  <si>
    <t>Kyle</t>
  </si>
  <si>
    <t>Saville</t>
  </si>
  <si>
    <t>Soccovitch</t>
  </si>
  <si>
    <t>Mike</t>
  </si>
  <si>
    <t>Vroman</t>
  </si>
  <si>
    <t>Washington</t>
  </si>
  <si>
    <t>soccovitch1</t>
  </si>
  <si>
    <t>Vice President</t>
  </si>
  <si>
    <t>Son Of A Bitch</t>
  </si>
  <si>
    <t>Robert</t>
  </si>
  <si>
    <t>Mugar</t>
  </si>
  <si>
    <t>Spaghetti Dirt</t>
  </si>
  <si>
    <t>Stuart</t>
  </si>
  <si>
    <t>Diarte</t>
  </si>
  <si>
    <t>Spaghetti Nachos</t>
  </si>
  <si>
    <t>Justin</t>
  </si>
  <si>
    <t>McNeil</t>
  </si>
  <si>
    <t>Spark Trickle</t>
  </si>
  <si>
    <t>Mike</t>
  </si>
  <si>
    <t>Pickering</t>
  </si>
  <si>
    <t>Sparky Baldstocking</t>
  </si>
  <si>
    <t>Jason</t>
  </si>
  <si>
    <t>Marsh</t>
  </si>
  <si>
    <t>Spaseghost</t>
  </si>
  <si>
    <t>Tony</t>
  </si>
  <si>
    <t>Fisher</t>
  </si>
  <si>
    <t>Spermaphobe</t>
  </si>
  <si>
    <t>Robert</t>
  </si>
  <si>
    <t>Howie</t>
  </si>
  <si>
    <t>Spit Farticle</t>
  </si>
  <si>
    <t>Jake</t>
  </si>
  <si>
    <t>Jensen</t>
  </si>
  <si>
    <t>Sprewell Mensis</t>
  </si>
  <si>
    <t>Bryce</t>
  </si>
  <si>
    <t>Littrell</t>
  </si>
  <si>
    <t>Sprog Socket</t>
  </si>
  <si>
    <t>Kyle</t>
  </si>
  <si>
    <t>Vetter</t>
  </si>
  <si>
    <t>British Columbia</t>
  </si>
  <si>
    <t>Squatch</t>
  </si>
  <si>
    <t>Logan</t>
  </si>
  <si>
    <t>McCort</t>
  </si>
  <si>
    <t>Stand-In Bastard</t>
  </si>
  <si>
    <t>Juanita</t>
  </si>
  <si>
    <t>Ross</t>
  </si>
  <si>
    <t>Stand-In Shitman</t>
  </si>
  <si>
    <t>Erik</t>
  </si>
  <si>
    <t>Stene</t>
  </si>
  <si>
    <t>California</t>
  </si>
  <si>
    <t>Stapleneck</t>
  </si>
  <si>
    <t>John</t>
  </si>
  <si>
    <t>Swisher</t>
  </si>
  <si>
    <t>Arizona</t>
  </si>
  <si>
    <t>stapleneck</t>
  </si>
  <si>
    <t>President</t>
  </si>
  <si>
    <t>Statutory Fingering</t>
  </si>
  <si>
    <t>Matt</t>
  </si>
  <si>
    <t>Dowdy</t>
  </si>
  <si>
    <t>Statutory Gape</t>
  </si>
  <si>
    <t>Samantha</t>
  </si>
  <si>
    <t>Sullivan</t>
  </si>
  <si>
    <t>Sticky Taint</t>
  </si>
  <si>
    <t>Greg</t>
  </si>
  <si>
    <t>Steussing</t>
  </si>
  <si>
    <t>New Jersey</t>
  </si>
  <si>
    <t>Road Captain</t>
  </si>
  <si>
    <t>Storm Rapist</t>
  </si>
  <si>
    <t>Jesse</t>
  </si>
  <si>
    <t>Fitzsimmons</t>
  </si>
  <si>
    <t>Street Ball</t>
  </si>
  <si>
    <t>Mark</t>
  </si>
  <si>
    <t>Benson</t>
  </si>
  <si>
    <t>Suckass</t>
  </si>
  <si>
    <t>Jared</t>
  </si>
  <si>
    <t>Urban</t>
  </si>
  <si>
    <t>Summer Pasta</t>
  </si>
  <si>
    <t>Alredo</t>
  </si>
  <si>
    <t>Winter</t>
  </si>
  <si>
    <t>California</t>
  </si>
  <si>
    <t>FredoWin</t>
  </si>
  <si>
    <t>Super Dad</t>
  </si>
  <si>
    <t>Michael</t>
  </si>
  <si>
    <t>Tully</t>
  </si>
  <si>
    <t>California</t>
  </si>
  <si>
    <t>Tully</t>
  </si>
  <si>
    <t>Knight</t>
  </si>
  <si>
    <t>Super Fly Manson</t>
  </si>
  <si>
    <t>Jason</t>
  </si>
  <si>
    <t>Patry</t>
  </si>
  <si>
    <t>Super-I-Have-Tits</t>
  </si>
  <si>
    <t>Jolene</t>
  </si>
  <si>
    <t>Bourque</t>
  </si>
  <si>
    <t>Northwest Territories</t>
  </si>
  <si>
    <t>First Lady</t>
  </si>
  <si>
    <t>Taco Assassin</t>
  </si>
  <si>
    <t>Edgardo</t>
  </si>
  <si>
    <t>Guzman</t>
  </si>
  <si>
    <t>Taint Rapist</t>
  </si>
  <si>
    <t>Shawna</t>
  </si>
  <si>
    <t>Clark</t>
  </si>
  <si>
    <t>Teenage Mutant Ninja Tom</t>
  </si>
  <si>
    <t>Tom</t>
  </si>
  <si>
    <t>Wiebel</t>
  </si>
  <si>
    <t>Testical Face</t>
  </si>
  <si>
    <t>Brian</t>
  </si>
  <si>
    <t>Griffin</t>
  </si>
  <si>
    <t>Testicle Shadows</t>
  </si>
  <si>
    <t>Kacy</t>
  </si>
  <si>
    <t>Johnson</t>
  </si>
  <si>
    <t>The 5th Metallica</t>
  </si>
  <si>
    <t>Jordan</t>
  </si>
  <si>
    <t>Fuller</t>
  </si>
  <si>
    <t>The Asian Cajun</t>
  </si>
  <si>
    <t>Jake</t>
  </si>
  <si>
    <t>Bourdreau</t>
  </si>
  <si>
    <t>The Backbone</t>
  </si>
  <si>
    <t>Bryan</t>
  </si>
  <si>
    <t>Cullen</t>
  </si>
  <si>
    <t>New York</t>
  </si>
  <si>
    <t>Knight</t>
  </si>
  <si>
    <t>The Beady Sado-Masichist</t>
  </si>
  <si>
    <t>Benjamin Dean</t>
  </si>
  <si>
    <t>Murray</t>
  </si>
  <si>
    <t>The Black Asian</t>
  </si>
  <si>
    <t>Cole</t>
  </si>
  <si>
    <t>Yellowbird</t>
  </si>
  <si>
    <t>The Budiney</t>
  </si>
  <si>
    <t>Jesse</t>
  </si>
  <si>
    <t>Budine</t>
  </si>
  <si>
    <t>The Come Of A Man</t>
  </si>
  <si>
    <t>Rich</t>
  </si>
  <si>
    <t>Cummings</t>
  </si>
  <si>
    <t>The Creator</t>
  </si>
  <si>
    <t>Noah</t>
  </si>
  <si>
    <t>Pratt</t>
  </si>
  <si>
    <t>The Defusinator</t>
  </si>
  <si>
    <t>Zachary</t>
  </si>
  <si>
    <t>Ross</t>
  </si>
  <si>
    <t>New Mexico</t>
  </si>
  <si>
    <t>The Diaperist</t>
  </si>
  <si>
    <t>Joy</t>
  </si>
  <si>
    <t>Veylupek</t>
  </si>
  <si>
    <t>The Doober</t>
  </si>
  <si>
    <t>Doober</t>
  </si>
  <si>
    <t>The Elepracorn</t>
  </si>
  <si>
    <t>Chris</t>
  </si>
  <si>
    <t>Oleary</t>
  </si>
  <si>
    <t>Pennsylvania</t>
  </si>
  <si>
    <t>The Exfoliator Of Shit</t>
  </si>
  <si>
    <t>Dale</t>
  </si>
  <si>
    <t>Harasem</t>
  </si>
  <si>
    <t>The Fart Whisperer</t>
  </si>
  <si>
    <t>Brian</t>
  </si>
  <si>
    <t>Larson</t>
  </si>
  <si>
    <t>The Fingerist</t>
  </si>
  <si>
    <t>Derek</t>
  </si>
  <si>
    <t>McCabe</t>
  </si>
  <si>
    <t>The Fluffer</t>
  </si>
  <si>
    <t>Steve</t>
  </si>
  <si>
    <t>Rodgers</t>
  </si>
  <si>
    <t>The Fuck You Finger of Satan</t>
  </si>
  <si>
    <t>Blasko (Rob)</t>
  </si>
  <si>
    <t>Nicholson</t>
  </si>
  <si>
    <t>California</t>
  </si>
  <si>
    <t>Caturday Master</t>
  </si>
  <si>
    <t>The Gape Crusader</t>
  </si>
  <si>
    <t>Jay</t>
  </si>
  <si>
    <t>Winters</t>
  </si>
  <si>
    <t>The Grapey</t>
  </si>
  <si>
    <t>Nicole</t>
  </si>
  <si>
    <t>Oort</t>
  </si>
  <si>
    <t>The Grapist</t>
  </si>
  <si>
    <t>Dave</t>
  </si>
  <si>
    <t>Oort</t>
  </si>
  <si>
    <t>The Greasy Hipster</t>
  </si>
  <si>
    <t>Jeromy</t>
  </si>
  <si>
    <t>Dailey</t>
  </si>
  <si>
    <t>The Great Gaper</t>
  </si>
  <si>
    <t>Taylor</t>
  </si>
  <si>
    <t>Cover</t>
  </si>
  <si>
    <t>The Hills Have Eyes</t>
  </si>
  <si>
    <t>Blake</t>
  </si>
  <si>
    <t>Shirk</t>
  </si>
  <si>
    <t>The Jew</t>
  </si>
  <si>
    <t>James Ellis</t>
  </si>
  <si>
    <t>Washburn</t>
  </si>
  <si>
    <t>The Lone Boner</t>
  </si>
  <si>
    <t>Adam</t>
  </si>
  <si>
    <t>Chapin</t>
  </si>
  <si>
    <t>The Necklace Raccoon</t>
  </si>
  <si>
    <t>Greg</t>
  </si>
  <si>
    <t>Olsen</t>
  </si>
  <si>
    <t>The Other Lone Boner</t>
  </si>
  <si>
    <t>SSG Wesley</t>
  </si>
  <si>
    <t>Nevins</t>
  </si>
  <si>
    <t>The Pussey Pussy</t>
  </si>
  <si>
    <t>Evan</t>
  </si>
  <si>
    <t>Cowan</t>
  </si>
  <si>
    <t>Colorado</t>
  </si>
  <si>
    <t>The Queefing Leprechaun</t>
  </si>
  <si>
    <t>Stephan</t>
  </si>
  <si>
    <t>McCrannie</t>
  </si>
  <si>
    <t>Colorado</t>
  </si>
  <si>
    <t>The Red Roofer</t>
  </si>
  <si>
    <t>Scott</t>
  </si>
  <si>
    <t>Willett</t>
  </si>
  <si>
    <t>Nevada</t>
  </si>
  <si>
    <t>The Shitman</t>
  </si>
  <si>
    <t>Aaron</t>
  </si>
  <si>
    <t>Trommeshauser</t>
  </si>
  <si>
    <t>The Spanish Crow</t>
  </si>
  <si>
    <t>Chris</t>
  </si>
  <si>
    <t>Robinson</t>
  </si>
  <si>
    <t>The Spanish Cumrag</t>
  </si>
  <si>
    <t>Joe</t>
  </si>
  <si>
    <t>Licalsi</t>
  </si>
  <si>
    <t>The Sweaty Latino</t>
  </si>
  <si>
    <t>Hector</t>
  </si>
  <si>
    <t>Hernandez</t>
  </si>
  <si>
    <t>The Tool Cuttah</t>
  </si>
  <si>
    <t>Chris</t>
  </si>
  <si>
    <t>Burrows</t>
  </si>
  <si>
    <t>The Velvet Asshole</t>
  </si>
  <si>
    <t>Erik</t>
  </si>
  <si>
    <t>Veltikold</t>
  </si>
  <si>
    <t>The Woodswoman</t>
  </si>
  <si>
    <t>Sara</t>
  </si>
  <si>
    <t>VanLaningham</t>
  </si>
  <si>
    <t>Indiana</t>
  </si>
  <si>
    <t>VioletShadow</t>
  </si>
  <si>
    <t>First Lady of the WolfKnives</t>
  </si>
  <si>
    <t>Thomas Hayden Chappel</t>
  </si>
  <si>
    <t>Justin</t>
  </si>
  <si>
    <t>Chappel</t>
  </si>
  <si>
    <t>Saskatchewan</t>
  </si>
  <si>
    <t>jaydadawg </t>
  </si>
  <si>
    <t>Vice Prime Minister</t>
  </si>
  <si>
    <t>Tina Turner</t>
  </si>
  <si>
    <t>Chase</t>
  </si>
  <si>
    <t>Dika</t>
  </si>
  <si>
    <t>Alberta</t>
  </si>
  <si>
    <t>cdika17</t>
  </si>
  <si>
    <t>Tinwacher</t>
  </si>
  <si>
    <t>Brian</t>
  </si>
  <si>
    <t>Ontario</t>
  </si>
  <si>
    <t>blackhawks</t>
  </si>
  <si>
    <t>Prime Minister</t>
  </si>
  <si>
    <t>Tit Nipple</t>
  </si>
  <si>
    <t>Jesse</t>
  </si>
  <si>
    <t>Boulton</t>
  </si>
  <si>
    <t>Tit Ruby</t>
  </si>
  <si>
    <t>Kathy</t>
  </si>
  <si>
    <t>Robertson</t>
  </si>
  <si>
    <t>British Columbia</t>
  </si>
  <si>
    <t>Kikki17</t>
  </si>
  <si>
    <t>Tongue My Dogs</t>
  </si>
  <si>
    <t>John</t>
  </si>
  <si>
    <t>Whydig</t>
  </si>
  <si>
    <t>Tony Flat-Ass</t>
  </si>
  <si>
    <t>Tim</t>
  </si>
  <si>
    <t>Gallagher</t>
  </si>
  <si>
    <t>Tool Hand Luke The 4th</t>
  </si>
  <si>
    <t>Guy</t>
  </si>
  <si>
    <t>Hudson</t>
  </si>
  <si>
    <t>Tortellini</t>
  </si>
  <si>
    <t>Michael</t>
  </si>
  <si>
    <t>Tulino</t>
  </si>
  <si>
    <t>Tote Scrotum</t>
  </si>
  <si>
    <t>Dave</t>
  </si>
  <si>
    <t>Cook</t>
  </si>
  <si>
    <t>Tree Scalper</t>
  </si>
  <si>
    <t>Dan</t>
  </si>
  <si>
    <t>Tillapaugh</t>
  </si>
  <si>
    <t>Triple Tee</t>
  </si>
  <si>
    <t>Tony</t>
  </si>
  <si>
    <t>Betz</t>
  </si>
  <si>
    <t>Wisconsin</t>
  </si>
  <si>
    <t>Truck Fucker</t>
  </si>
  <si>
    <t>Chad</t>
  </si>
  <si>
    <t>Henson</t>
  </si>
  <si>
    <t>Truck Yeah</t>
  </si>
  <si>
    <t>Sean</t>
  </si>
  <si>
    <t>Neilson</t>
  </si>
  <si>
    <t>Ontario</t>
  </si>
  <si>
    <t>Truckloads</t>
  </si>
  <si>
    <t>Leanna</t>
  </si>
  <si>
    <t>Oke</t>
  </si>
  <si>
    <t>Trucktagon</t>
  </si>
  <si>
    <t>Kenny</t>
  </si>
  <si>
    <t>Taylor</t>
  </si>
  <si>
    <t>Truk Norris</t>
  </si>
  <si>
    <t>Scott</t>
  </si>
  <si>
    <t>M</t>
  </si>
  <si>
    <t>Ontario</t>
  </si>
  <si>
    <t>Trust Fund Liar</t>
  </si>
  <si>
    <t>David</t>
  </si>
  <si>
    <t>Jaworski</t>
  </si>
  <si>
    <t>Tube Inspector</t>
  </si>
  <si>
    <t>James</t>
  </si>
  <si>
    <t>Beeler</t>
  </si>
  <si>
    <t>Montana</t>
  </si>
  <si>
    <t>jbeeler2012</t>
  </si>
  <si>
    <t>Turbo Lightning Eagle</t>
  </si>
  <si>
    <t>Chris</t>
  </si>
  <si>
    <t>Lucas</t>
  </si>
  <si>
    <t>Turd Gurgler</t>
  </si>
  <si>
    <t>Ashlee</t>
  </si>
  <si>
    <t>Browning</t>
  </si>
  <si>
    <t>Turd Load</t>
  </si>
  <si>
    <t>Can</t>
  </si>
  <si>
    <t>McNair</t>
  </si>
  <si>
    <t>Turtle Collector</t>
  </si>
  <si>
    <t>Jake</t>
  </si>
  <si>
    <t>Kopek</t>
  </si>
  <si>
    <t>Twisted Metal</t>
  </si>
  <si>
    <t>John</t>
  </si>
  <si>
    <t>Flath</t>
  </si>
  <si>
    <t>New Jersey</t>
  </si>
  <si>
    <t>TwistedMetal1</t>
  </si>
  <si>
    <t>President</t>
  </si>
  <si>
    <t>Tyler Dirven</t>
  </si>
  <si>
    <t>Justin</t>
  </si>
  <si>
    <t>Dirven</t>
  </si>
  <si>
    <t>Saskatchewan</t>
  </si>
  <si>
    <t>Vertical Dick</t>
  </si>
  <si>
    <t>Jeremiah</t>
  </si>
  <si>
    <t>Kolbensvik</t>
  </si>
  <si>
    <t>Viper</t>
  </si>
  <si>
    <t>Jeff</t>
  </si>
  <si>
    <t>Grubaugh</t>
  </si>
  <si>
    <t>Ohio</t>
  </si>
  <si>
    <t>Viper2</t>
  </si>
  <si>
    <t>President</t>
  </si>
  <si>
    <t>Vomit Rod</t>
  </si>
  <si>
    <t>Josh</t>
  </si>
  <si>
    <t>Bartholomew</t>
  </si>
  <si>
    <t>Wapner</t>
  </si>
  <si>
    <t>Taylor</t>
  </si>
  <si>
    <t>Watling</t>
  </si>
  <si>
    <t>Wayne Gretzky's Taint</t>
  </si>
  <si>
    <t>Scott</t>
  </si>
  <si>
    <t>Abel</t>
  </si>
  <si>
    <t>Alberta</t>
  </si>
  <si>
    <t>Wet BJ</t>
  </si>
  <si>
    <t>Ryan</t>
  </si>
  <si>
    <t>Fryer</t>
  </si>
  <si>
    <t>Wet Blanket</t>
  </si>
  <si>
    <t>Adrian</t>
  </si>
  <si>
    <t>Roberts</t>
  </si>
  <si>
    <t>White Bread</t>
  </si>
  <si>
    <t>Corey</t>
  </si>
  <si>
    <t>Walters</t>
  </si>
  <si>
    <t>Pennsylvania</t>
  </si>
  <si>
    <t>White Power Ranger</t>
  </si>
  <si>
    <t>Dylan</t>
  </si>
  <si>
    <t>Waite</t>
  </si>
  <si>
    <t>Oregon</t>
  </si>
  <si>
    <t>fmfan</t>
  </si>
  <si>
    <t>Whore &amp; Order</t>
  </si>
  <si>
    <t>Christi</t>
  </si>
  <si>
    <t>Hammond</t>
  </si>
  <si>
    <t>Wolf Kisser</t>
  </si>
  <si>
    <t>Tim</t>
  </si>
  <si>
    <t>Wright</t>
  </si>
  <si>
    <t>Indiana</t>
  </si>
  <si>
    <t>WolfKisser</t>
  </si>
  <si>
    <t>President</t>
  </si>
  <si>
    <t>Wolfnugget</t>
  </si>
  <si>
    <t>Thomas</t>
  </si>
  <si>
    <t>Lavigne</t>
  </si>
  <si>
    <t>Womb Raider</t>
  </si>
  <si>
    <t>Andy</t>
  </si>
  <si>
    <t>Womer</t>
  </si>
  <si>
    <t>Wong Dong Silver</t>
  </si>
  <si>
    <t>Kyle</t>
  </si>
  <si>
    <t>Wongstedt</t>
  </si>
  <si>
    <t>Wood Hitler</t>
  </si>
  <si>
    <t>Mike</t>
  </si>
  <si>
    <t>Bayes</t>
  </si>
  <si>
    <t>Yesterday's Poo</t>
  </si>
  <si>
    <t>Keith</t>
  </si>
  <si>
    <t>Coughlin</t>
  </si>
  <si>
    <t>Young Wing</t>
  </si>
  <si>
    <t>Jason</t>
  </si>
  <si>
    <t>Ellis</t>
  </si>
  <si>
    <t>California</t>
  </si>
  <si>
    <t>Ellis</t>
  </si>
  <si>
    <t>King</t>
  </si>
  <si>
    <t>Zeus Godlord</t>
  </si>
  <si>
    <t>Jason</t>
  </si>
  <si>
    <t>Howell</t>
  </si>
  <si>
    <t>Zombie Prostitute</t>
  </si>
  <si>
    <t>Jenny Renee</t>
  </si>
  <si>
    <t>Pelcher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</si>
</sst>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name val="Arial"/>
    </font>
    <font>
      <b/>
      <u/>
      <color rgb="FFCC0000"/>
    </font>
    <font>
      <b/>
      <u/>
      <color rgb="FFCC0000"/>
    </font>
    <font>
      <b/>
      <u/>
      <color rgb="FFEFEFEF"/>
    </font>
    <font>
      <color rgb="FFEFEFEF"/>
    </font>
    <font>
      <u/>
      <color rgb="FFEFEFEF"/>
    </font>
    <font>
      <color rgb="FFEFEFEF"/>
    </font>
    <font>
      <color rgb="FFEFEFEF"/>
    </font>
    <font>
      <color rgb="FFEFEFEF"/>
    </font>
    <font>
      <u/>
      <color rgb="FFEFEFEF"/>
    </font>
    <font>
      <color rgb="FFEFEFEF"/>
    </font>
    <font>
      <color rgb="FFEFEFEF"/>
    </font>
    <font>
      <color rgb="FFEFEFEF"/>
    </font>
    <font>
      <color rgb="FFFFFFFF"/>
    </font>
    <font>
      <u/>
      <color rgb="FFFFFFFF"/>
    </font>
    <font>
      <color rgb="FFFFFFFF"/>
    </font>
    <font>
      <color rgb="FFEFEFEF"/>
    </font>
    <font>
      <u/>
      <color rgb="FFEFEFE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fillId="0" numFmtId="0" borderId="0" fontId="0"/>
  </cellStyleXfs>
  <cellXfs count="18">
    <xf fillId="0" numFmtId="0" borderId="0" fontId="0"/>
    <xf applyAlignment="1" fillId="2" xfId="0" numFmtId="0" borderId="1" applyFont="1" fontId="1" applyFill="1">
      <alignment horizontal="center"/>
    </xf>
    <xf applyAlignment="1" fillId="2" xfId="0" numFmtId="0" borderId="1" applyFont="1" fontId="2">
      <alignment horizontal="center"/>
    </xf>
    <xf applyAlignment="1" fillId="2" xfId="0" numFmtId="0" borderId="1" applyFont="1" fontId="3">
      <alignment horizontal="center"/>
    </xf>
    <xf applyBorder="1" applyAlignment="1" fillId="2" xfId="0" numFmtId="0" borderId="2" applyFont="1" fontId="4">
      <alignment/>
    </xf>
    <xf applyBorder="1" applyAlignment="1" fillId="2" xfId="0" numFmtId="0" borderId="3" applyFont="1" fontId="5">
      <alignment/>
    </xf>
    <xf applyBorder="1" fillId="2" xfId="0" numFmtId="0" borderId="4" applyFont="1" fontId="6"/>
    <xf applyAlignment="1" fillId="2" xfId="0" numFmtId="0" borderId="1" applyFont="1" fontId="7">
      <alignment/>
    </xf>
    <xf fillId="2" xfId="0" numFmtId="0" borderId="1" applyFont="1" fontId="8"/>
    <xf applyAlignment="1" fillId="2" xfId="0" numFmtId="0" borderId="1" applyFont="1" fontId="9">
      <alignment/>
    </xf>
    <xf applyAlignment="1" fillId="2" xfId="0" numFmtId="0" borderId="1" applyFont="1" fontId="10">
      <alignment/>
    </xf>
    <xf applyBorder="1" applyAlignment="1" fillId="2" xfId="0" numFmtId="0" borderId="5" applyFont="1" fontId="11">
      <alignment/>
    </xf>
    <xf applyBorder="1" fillId="2" xfId="0" numFmtId="0" borderId="6" applyFont="1" fontId="12"/>
    <xf applyAlignment="1" fillId="2" xfId="0" numFmtId="0" borderId="1" applyFont="1" fontId="13">
      <alignment/>
    </xf>
    <xf applyAlignment="1" fillId="2" xfId="0" numFmtId="0" borderId="1" applyFont="1" fontId="14">
      <alignment/>
    </xf>
    <xf fillId="2" xfId="0" numFmtId="0" borderId="1" applyFont="1" fontId="15"/>
    <xf applyAlignment="1" fillId="2" xfId="0" numFmtId="0" borderId="1" applyFont="1" fontId="16">
      <alignment/>
    </xf>
    <xf fillId="2" xfId="0" numFmtId="0" borderId="1" applyFont="1" fontId="17"/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http://instagram.com/handycappedommy" Type="http://schemas.openxmlformats.org/officeDocument/2006/relationships/hyperlink" TargetMode="External" Id="rId39"/><Relationship Target="https://twitter.com/HandyCappedommy" Type="http://schemas.openxmlformats.org/officeDocument/2006/relationships/hyperlink" TargetMode="External" Id="rId38"/><Relationship Target="http://instagram.com/clubhousesandwich" Type="http://schemas.openxmlformats.org/officeDocument/2006/relationships/hyperlink" TargetMode="External" Id="rId37"/><Relationship Target="https://twitter.com/clubhousandwich" Type="http://schemas.openxmlformats.org/officeDocument/2006/relationships/hyperlink" TargetMode="External" Id="rId36"/><Relationship Target="https://twitter.com/McKaI86" Type="http://schemas.openxmlformats.org/officeDocument/2006/relationships/hyperlink" TargetMode="External" Id="rId150"/><Relationship Target="https://twitter.com/FredoWin" Type="http://schemas.openxmlformats.org/officeDocument/2006/relationships/hyperlink" TargetMode="External" Id="rId223"/><Relationship Target="https://twitter.com/geraldpringle" Type="http://schemas.openxmlformats.org/officeDocument/2006/relationships/hyperlink" TargetMode="External" Id="rId30"/><Relationship Target="http://instagram.com/Meaty_oz" Type="http://schemas.openxmlformats.org/officeDocument/2006/relationships/hyperlink" TargetMode="External" Id="rId142"/><Relationship Target="http://instagram.com/summer_pasta" Type="http://schemas.openxmlformats.org/officeDocument/2006/relationships/hyperlink" TargetMode="External" Id="rId224"/><Relationship Target="http://instagram.com/geraldpringle" Type="http://schemas.openxmlformats.org/officeDocument/2006/relationships/hyperlink" TargetMode="External" Id="rId31"/><Relationship Target="https://twitter.com/bigmig214" Type="http://schemas.openxmlformats.org/officeDocument/2006/relationships/hyperlink" TargetMode="External" Id="rId143"/><Relationship Target="http://instagram.com/stapleneck" Type="http://schemas.openxmlformats.org/officeDocument/2006/relationships/hyperlink" TargetMode="External" Id="rId221"/><Relationship Target="http://instagram.com/matmonsterk" Type="http://schemas.openxmlformats.org/officeDocument/2006/relationships/hyperlink" TargetMode="External" Id="rId140"/><Relationship Target="http://instagram.com/t_wreck" Type="http://schemas.openxmlformats.org/officeDocument/2006/relationships/hyperlink" TargetMode="External" Id="rId222"/><Relationship Target="https://twitter.com/Meaty_OZ" Type="http://schemas.openxmlformats.org/officeDocument/2006/relationships/hyperlink" TargetMode="External" Id="rId141"/><Relationship Target="http://instagram.com/Missy3696" Type="http://schemas.openxmlformats.org/officeDocument/2006/relationships/hyperlink" TargetMode="External" Id="rId34"/><Relationship Target="http://instagram.com/MikeInCanada_" Type="http://schemas.openxmlformats.org/officeDocument/2006/relationships/hyperlink" TargetMode="External" Id="rId146"/><Relationship Target="https://twitter.com/stapleneck" Type="http://schemas.openxmlformats.org/officeDocument/2006/relationships/hyperlink" TargetMode="External" Id="rId220"/><Relationship Target="https://twitter.com/Fngr_Xpressions" Type="http://schemas.openxmlformats.org/officeDocument/2006/relationships/hyperlink" TargetMode="External" Id="rId35"/><Relationship Target="https://twitter.com/ridewithtim" Type="http://schemas.openxmlformats.org/officeDocument/2006/relationships/hyperlink" TargetMode="External" Id="rId147"/><Relationship Target="https://twitter.com/Liqydice700" Type="http://schemas.openxmlformats.org/officeDocument/2006/relationships/hyperlink" TargetMode="External" Id="rId32"/><Relationship Target="http://instagram.com/bigmig214" Type="http://schemas.openxmlformats.org/officeDocument/2006/relationships/hyperlink" TargetMode="External" Id="rId144"/><Relationship Target="https://twitter.com/Missy3696" Type="http://schemas.openxmlformats.org/officeDocument/2006/relationships/hyperlink" TargetMode="External" Id="rId33"/><Relationship Target="https://twitter.com/mike_in_canada" Type="http://schemas.openxmlformats.org/officeDocument/2006/relationships/hyperlink" TargetMode="External" Id="rId145"/><Relationship Target="https://twitter.com/Cullensaidthis" Type="http://schemas.openxmlformats.org/officeDocument/2006/relationships/hyperlink" TargetMode="External" Id="rId229"/><Relationship Target="http://instagram.com/ridewithtim" Type="http://schemas.openxmlformats.org/officeDocument/2006/relationships/hyperlink" TargetMode="External" Id="rId148"/><Relationship Target="http://instagram.com/jared2207" Type="http://schemas.openxmlformats.org/officeDocument/2006/relationships/hyperlink" TargetMode="External" Id="rId149"/><Relationship Target="https://twitter.com/JoleneParties" Type="http://schemas.openxmlformats.org/officeDocument/2006/relationships/hyperlink" TargetMode="External" Id="rId227"/><Relationship Target="http://instagram.com/missjolenemae" Type="http://schemas.openxmlformats.org/officeDocument/2006/relationships/hyperlink" TargetMode="External" Id="rId228"/><Relationship Target="https://twitter.com/possiblytully" Type="http://schemas.openxmlformats.org/officeDocument/2006/relationships/hyperlink" TargetMode="External" Id="rId225"/><Relationship Target="http://instagram.com/tullywood" Type="http://schemas.openxmlformats.org/officeDocument/2006/relationships/hyperlink" TargetMode="External" Id="rId226"/><Relationship Target="https://twitter.com/Guitar455" Type="http://schemas.openxmlformats.org/officeDocument/2006/relationships/hyperlink" TargetMode="External" Id="rId48"/><Relationship Target="http://instagram.com/kevinkraft/" Type="http://schemas.openxmlformats.org/officeDocument/2006/relationships/hyperlink" TargetMode="External" Id="rId47"/><Relationship Target="http://instagram.com/hhtac88" Type="http://schemas.openxmlformats.org/officeDocument/2006/relationships/hyperlink" TargetMode="External" Id="rId49"/><Relationship Target="http://instagram.com/shit.toboggan" Type="http://schemas.openxmlformats.org/officeDocument/2006/relationships/hyperlink" TargetMode="External" Id="rId210"/><Relationship Target="https://twitter.com/sleepyjoe_RDS" Type="http://schemas.openxmlformats.org/officeDocument/2006/relationships/hyperlink" TargetMode="External" Id="rId211"/><Relationship Target="https://twitter.com/CRAZYJERR" Type="http://schemas.openxmlformats.org/officeDocument/2006/relationships/hyperlink" TargetMode="External" Id="rId40"/><Relationship Target="https://twitter.com/AZ_RedDragon" Type="http://schemas.openxmlformats.org/officeDocument/2006/relationships/hyperlink" TargetMode="External" Id="rId130"/><Relationship Target="http://instagram.com/sleepyjoepo" Type="http://schemas.openxmlformats.org/officeDocument/2006/relationships/hyperlink" TargetMode="External" Id="rId212"/><Relationship Target="http://instagram.com/CRAZYJERR" Type="http://schemas.openxmlformats.org/officeDocument/2006/relationships/hyperlink" TargetMode="External" Id="rId41"/><Relationship Target="http://instagram.com/az_reddragon/" Type="http://schemas.openxmlformats.org/officeDocument/2006/relationships/hyperlink" TargetMode="External" Id="rId131"/><Relationship Target="https://twitter.com/Soccovitch" Type="http://schemas.openxmlformats.org/officeDocument/2006/relationships/hyperlink" TargetMode="External" Id="rId213"/><Relationship Target="https://twitter.com/cringer" Type="http://schemas.openxmlformats.org/officeDocument/2006/relationships/hyperlink" TargetMode="External" Id="rId42"/><Relationship Target="https://twitter.com/PaulM138666" Type="http://schemas.openxmlformats.org/officeDocument/2006/relationships/hyperlink" TargetMode="External" Id="rId132"/><Relationship Target="http://instagram.com/cringeworld" Type="http://schemas.openxmlformats.org/officeDocument/2006/relationships/hyperlink" TargetMode="External" Id="rId43"/><Relationship Target="https://twitter.com/mighty_boognish" Type="http://schemas.openxmlformats.org/officeDocument/2006/relationships/hyperlink" TargetMode="External" Id="rId133"/><Relationship Target="https://twitter.com/jakejeff" Type="http://schemas.openxmlformats.org/officeDocument/2006/relationships/hyperlink" TargetMode="External" Id="rId44"/><Relationship Target="http://instagram.com/themightyboognish" Type="http://schemas.openxmlformats.org/officeDocument/2006/relationships/hyperlink" TargetMode="External" Id="rId134"/><Relationship Target="http://instagram.com/jakejeff78" Type="http://schemas.openxmlformats.org/officeDocument/2006/relationships/hyperlink" TargetMode="External" Id="rId45"/><Relationship Target="https://twitter.com/TonyMcCord" Type="http://schemas.openxmlformats.org/officeDocument/2006/relationships/hyperlink" TargetMode="External" Id="rId135"/><Relationship Target="https://twitter.com/KevinKraftSucks" Type="http://schemas.openxmlformats.org/officeDocument/2006/relationships/hyperlink" TargetMode="External" Id="rId46"/><Relationship Target="http://instagram.com/anthonymccord" Type="http://schemas.openxmlformats.org/officeDocument/2006/relationships/hyperlink" TargetMode="External" Id="rId136"/><Relationship Target="https://twitter.com/ErikStene" Type="http://schemas.openxmlformats.org/officeDocument/2006/relationships/hyperlink" TargetMode="External" Id="rId218"/><Relationship Target="https://twitter.com/DraXsiS_Rocker" Type="http://schemas.openxmlformats.org/officeDocument/2006/relationships/hyperlink" TargetMode="External" Id="rId137"/><Relationship Target="http://instagram.com/gore_d" Type="http://schemas.openxmlformats.org/officeDocument/2006/relationships/hyperlink" TargetMode="External" Id="rId219"/><Relationship Target="http://instagram.com/draxsis_rocker" Type="http://schemas.openxmlformats.org/officeDocument/2006/relationships/hyperlink" TargetMode="External" Id="rId138"/><Relationship Target="https://twitter.com/matmonsterk" Type="http://schemas.openxmlformats.org/officeDocument/2006/relationships/hyperlink" TargetMode="External" Id="rId139"/><Relationship Target="http://instagram.com/soccovitch" Type="http://schemas.openxmlformats.org/officeDocument/2006/relationships/hyperlink" TargetMode="External" Id="rId214"/><Relationship Target="https://twitter.com/spaseghost" Type="http://schemas.openxmlformats.org/officeDocument/2006/relationships/hyperlink" TargetMode="External" Id="rId215"/><Relationship Target="https://twitter.com/Kvetter81" Type="http://schemas.openxmlformats.org/officeDocument/2006/relationships/hyperlink" TargetMode="External" Id="rId216"/><Relationship Target="http://instagram.com/Dibiase8181" Type="http://schemas.openxmlformats.org/officeDocument/2006/relationships/hyperlink" TargetMode="External" Id="rId217"/><Relationship Target="https://twitter.com/CWendenburg" Type="http://schemas.openxmlformats.org/officeDocument/2006/relationships/hyperlink" TargetMode="External" Id="rId172"/><Relationship Target="http://instagram.com/lindmaer" Type="http://schemas.openxmlformats.org/officeDocument/2006/relationships/hyperlink" TargetMode="External" Id="rId171"/><Relationship Target="http://instagram.com/Testyboy" Type="http://schemas.openxmlformats.org/officeDocument/2006/relationships/hyperlink" TargetMode="External" Id="rId19"/><Relationship Target="https://twitter.com/lindmaer" Type="http://schemas.openxmlformats.org/officeDocument/2006/relationships/hyperlink" TargetMode="External" Id="rId170"/><Relationship Target="https://twitter.com/testyboy" Type="http://schemas.openxmlformats.org/officeDocument/2006/relationships/hyperlink" TargetMode="External" Id="rId18"/><Relationship Target="http://instagram.com/cogdeth" Type="http://schemas.openxmlformats.org/officeDocument/2006/relationships/hyperlink" TargetMode="External" Id="rId17"/><Relationship Target="https://twitter.com/cogdeth" Type="http://schemas.openxmlformats.org/officeDocument/2006/relationships/hyperlink" TargetMode="External" Id="rId16"/><Relationship Target="http://instagram.com/bitpimps" Type="http://schemas.openxmlformats.org/officeDocument/2006/relationships/hyperlink" TargetMode="External" Id="rId15"/><Relationship Target="https://twitter.com/bitPimps" Type="http://schemas.openxmlformats.org/officeDocument/2006/relationships/hyperlink" TargetMode="External" Id="rId14"/><Relationship Target="https://twitter.com/TheWoodswoman" Type="http://schemas.openxmlformats.org/officeDocument/2006/relationships/hyperlink" TargetMode="External" Id="rId241"/><Relationship Target="https://twitter.com/Schwyter89" Type="http://schemas.openxmlformats.org/officeDocument/2006/relationships/hyperlink" TargetMode="External" Id="rId12"/><Relationship Target="https://twitter.com/Tarfugaming" Type="http://schemas.openxmlformats.org/officeDocument/2006/relationships/hyperlink" TargetMode="External" Id="rId168"/><Relationship Target="http://instagram.com/thewoodswoman" Type="http://schemas.openxmlformats.org/officeDocument/2006/relationships/hyperlink" TargetMode="External" Id="rId242"/><Relationship Target="http://instagram.com/beefpanther723" Type="http://schemas.openxmlformats.org/officeDocument/2006/relationships/hyperlink" TargetMode="External" Id="rId13"/><Relationship Target="http://instagram.com/tarfugaming" Type="http://schemas.openxmlformats.org/officeDocument/2006/relationships/hyperlink" TargetMode="External" Id="rId169"/><Relationship Target="https://twitter.com/Marasta76" Type="http://schemas.openxmlformats.org/officeDocument/2006/relationships/hyperlink" TargetMode="External" Id="rId10"/><Relationship Target="https://twitter.com/Jeff_H8R" Type="http://schemas.openxmlformats.org/officeDocument/2006/relationships/hyperlink" TargetMode="External" Id="rId166"/><Relationship Target="http://instagram.com/Sabotage70" Type="http://schemas.openxmlformats.org/officeDocument/2006/relationships/hyperlink" TargetMode="External" Id="rId240"/><Relationship Target="http://instagram.com/marasta" Type="http://schemas.openxmlformats.org/officeDocument/2006/relationships/hyperlink" TargetMode="External" Id="rId11"/><Relationship Target="http://instagram.com/overgrownseamonkey" Type="http://schemas.openxmlformats.org/officeDocument/2006/relationships/hyperlink" TargetMode="External" Id="rId167"/><Relationship Target="https://twitter.com/cdika17" Type="http://schemas.openxmlformats.org/officeDocument/2006/relationships/hyperlink" TargetMode="External" Id="rId245"/><Relationship Target="https://twitter.com/Saveit4thewar" Type="http://schemas.openxmlformats.org/officeDocument/2006/relationships/hyperlink" TargetMode="External" Id="rId164"/><Relationship Target="https://twitter.com/webes44" Type="http://schemas.openxmlformats.org/officeDocument/2006/relationships/hyperlink" TargetMode="External" Id="rId246"/><Relationship Target="http://instagram.com/delahoya_rds" Type="http://schemas.openxmlformats.org/officeDocument/2006/relationships/hyperlink" TargetMode="External" Id="rId165"/><Relationship Target="https://twitter.com/J_Chappel" Type="http://schemas.openxmlformats.org/officeDocument/2006/relationships/hyperlink" TargetMode="External" Id="rId243"/><Relationship Target="https://twitter.com/J_GRAY1" Type="http://schemas.openxmlformats.org/officeDocument/2006/relationships/hyperlink" TargetMode="External" Id="rId162"/><Relationship Target="http://instagram.com/wk_thomas_hayden_chappel" Type="http://schemas.openxmlformats.org/officeDocument/2006/relationships/hyperlink" TargetMode="External" Id="rId244"/><Relationship Target="http://instagram.com/shade_of_gray" Type="http://schemas.openxmlformats.org/officeDocument/2006/relationships/hyperlink" TargetMode="External" Id="rId163"/><Relationship Target="http://instagram.com/kikkiluvsracing" Type="http://schemas.openxmlformats.org/officeDocument/2006/relationships/hyperlink" TargetMode="External" Id="rId249"/><Relationship Target="http://instagram.com/tinwacker" Type="http://schemas.openxmlformats.org/officeDocument/2006/relationships/hyperlink" TargetMode="External" Id="rId247"/><Relationship Target="https://twitter.com/kikkiluvsracing" Type="http://schemas.openxmlformats.org/officeDocument/2006/relationships/hyperlink" TargetMode="External" Id="rId248"/><Relationship Target="http://instagram.com/rdscowboy" Type="http://schemas.openxmlformats.org/officeDocument/2006/relationships/hyperlink" TargetMode="External" Id="rId29"/><Relationship Target="http://instagram.com/emsixtene" Type="http://schemas.openxmlformats.org/officeDocument/2006/relationships/hyperlink" TargetMode="External" Id="rId161"/><Relationship Target="https://twitter.com/DJM16" Type="http://schemas.openxmlformats.org/officeDocument/2006/relationships/hyperlink" TargetMode="External" Id="rId160"/><Relationship Target="http://instagram.com/blotocki" Type="http://schemas.openxmlformats.org/officeDocument/2006/relationships/hyperlink" TargetMode="External" Id="rId26"/><Relationship Target="https://twitter.com/blotocki" Type="http://schemas.openxmlformats.org/officeDocument/2006/relationships/hyperlink" TargetMode="External" Id="rId25"/><Relationship Target="http://instagram.com/butterballs_em6" Type="http://schemas.openxmlformats.org/officeDocument/2006/relationships/hyperlink" TargetMode="External" Id="rId28"/><Relationship Target="https://twitter.com/Butterballs_EM6" Type="http://schemas.openxmlformats.org/officeDocument/2006/relationships/hyperlink" TargetMode="External" Id="rId27"/><Relationship Target="https://twitter.com/Bonk_RDS" Type="http://schemas.openxmlformats.org/officeDocument/2006/relationships/hyperlink" TargetMode="External" Id="rId21"/><Relationship Target="https://twitter.com/Rossetti702" Type="http://schemas.openxmlformats.org/officeDocument/2006/relationships/hyperlink" TargetMode="External" Id="rId155"/><Relationship Target="http://instagram.com/bonk_rds" Type="http://schemas.openxmlformats.org/officeDocument/2006/relationships/hyperlink" TargetMode="External" Id="rId22"/><Relationship Target="https://twitter.com/Edgell59_Ethan" Type="http://schemas.openxmlformats.org/officeDocument/2006/relationships/hyperlink" TargetMode="External" Id="rId156"/><Relationship Target="http://instagram.com/cullensaidthis/" Type="http://schemas.openxmlformats.org/officeDocument/2006/relationships/hyperlink" TargetMode="External" Id="rId230"/><Relationship Target="https://twitter.com/BooozyTheClown" Type="http://schemas.openxmlformats.org/officeDocument/2006/relationships/hyperlink" TargetMode="External" Id="rId23"/><Relationship Target="http://instagram.com/ninjaflyingedgell" Type="http://schemas.openxmlformats.org/officeDocument/2006/relationships/hyperlink" TargetMode="External" Id="rId157"/><Relationship Target="https://twitter.com/bombsnuffer" Type="http://schemas.openxmlformats.org/officeDocument/2006/relationships/hyperlink" TargetMode="External" Id="rId231"/><Relationship Target="http://instagram.com/BooozyTheClown" Type="http://schemas.openxmlformats.org/officeDocument/2006/relationships/hyperlink" TargetMode="External" Id="rId24"/><Relationship Target="https://twitter.com/AmeralReid" Type="http://schemas.openxmlformats.org/officeDocument/2006/relationships/hyperlink" TargetMode="External" Id="rId158"/><Relationship Target="http://instagram.com/zachzachzach_" Type="http://schemas.openxmlformats.org/officeDocument/2006/relationships/hyperlink" TargetMode="External" Id="rId232"/><Relationship Target="https://twitter.com/Bourne_Paige" Type="http://schemas.openxmlformats.org/officeDocument/2006/relationships/hyperlink" TargetMode="External" Id="rId151"/><Relationship Target="http://instagram.com/mrjinkzd" Type="http://schemas.openxmlformats.org/officeDocument/2006/relationships/hyperlink" TargetMode="External" Id="rId233"/><Relationship Target="http://instagram.com/bourne_paige" Type="http://schemas.openxmlformats.org/officeDocument/2006/relationships/hyperlink" TargetMode="External" Id="rId152"/><Relationship Target="https://twitter.com/blasko1313" Type="http://schemas.openxmlformats.org/officeDocument/2006/relationships/hyperlink" TargetMode="External" Id="rId234"/><Relationship Target="https://twitter.com/Bafsnow" Type="http://schemas.openxmlformats.org/officeDocument/2006/relationships/hyperlink" TargetMode="External" Id="rId153"/><Relationship Target="http://instagram.com/blasko1313" Type="http://schemas.openxmlformats.org/officeDocument/2006/relationships/hyperlink" TargetMode="External" Id="rId235"/><Relationship Target="https://twitter.com/rrrredragons" Type="http://schemas.openxmlformats.org/officeDocument/2006/relationships/hyperlink" TargetMode="External" Id="rId20"/><Relationship Target="http://instagram.com/b.a.f.snow" Type="http://schemas.openxmlformats.org/officeDocument/2006/relationships/hyperlink" TargetMode="External" Id="rId154"/><Relationship Target="http://instagram.com/truechief77" Type="http://schemas.openxmlformats.org/officeDocument/2006/relationships/hyperlink" TargetMode="External" Id="rId236"/><Relationship Target="https://twitter.com/queefleprecaun" Type="http://schemas.openxmlformats.org/officeDocument/2006/relationships/hyperlink" TargetMode="External" Id="rId237"/><Relationship Target="http://instagram.com/stephenmccr" Type="http://schemas.openxmlformats.org/officeDocument/2006/relationships/hyperlink" TargetMode="External" Id="rId238"/><Relationship Target="https://twitter.com/Sabotage70" Type="http://schemas.openxmlformats.org/officeDocument/2006/relationships/hyperlink" TargetMode="External" Id="rId239"/><Relationship Target="http://instagram.com/amy_nipplopolis" Type="http://schemas.openxmlformats.org/officeDocument/2006/relationships/hyperlink" TargetMode="External" Id="rId159"/><Relationship Target="http://instagram.com/rainmanrds" Type="http://schemas.openxmlformats.org/officeDocument/2006/relationships/hyperlink" TargetMode="External" Id="rId190"/><Relationship Target="http://instagram.com/radiotfb" Type="http://schemas.openxmlformats.org/officeDocument/2006/relationships/hyperlink" TargetMode="External" Id="rId193"/><Relationship Target="http://instagram.com/aj_slagan" Type="http://schemas.openxmlformats.org/officeDocument/2006/relationships/hyperlink" TargetMode="External" Id="rId194"/><Relationship Target="http://instagram.com/sjkrupenny" Type="http://schemas.openxmlformats.org/officeDocument/2006/relationships/hyperlink" TargetMode="External" Id="rId191"/><Relationship Target="https://twitter.com/RadioTFB" Type="http://schemas.openxmlformats.org/officeDocument/2006/relationships/hyperlink" TargetMode="External" Id="rId192"/><Relationship Target="https://twitter.com/thegooser" Type="http://schemas.openxmlformats.org/officeDocument/2006/relationships/hyperlink" TargetMode="External" Id="rId71"/><Relationship Target="http://instagram.com/tjh133" Type="http://schemas.openxmlformats.org/officeDocument/2006/relationships/hyperlink" TargetMode="External" Id="rId70"/><Relationship Target="https://twitter.com/Dutch_RDS" Type="http://schemas.openxmlformats.org/officeDocument/2006/relationships/hyperlink" TargetMode="External" Id="rId75"/><Relationship Target="http://instagram.com/snakel87" Type="http://schemas.openxmlformats.org/officeDocument/2006/relationships/hyperlink" TargetMode="External" Id="rId187"/><Relationship Target="http://instagram.com/richybang" Type="http://schemas.openxmlformats.org/officeDocument/2006/relationships/hyperlink" TargetMode="External" Id="rId74"/><Relationship Target="https://twitter.com/snakel87" Type="http://schemas.openxmlformats.org/officeDocument/2006/relationships/hyperlink" TargetMode="External" Id="rId186"/><Relationship Target="https://twitter.com/Richybang" Type="http://schemas.openxmlformats.org/officeDocument/2006/relationships/hyperlink" TargetMode="External" Id="rId73"/><Relationship Target="https://twitter.com/curbjobjason" Type="http://schemas.openxmlformats.org/officeDocument/2006/relationships/hyperlink" TargetMode="External" Id="rId185"/><Relationship Target="http://instagram.com/thegooser1" Type="http://schemas.openxmlformats.org/officeDocument/2006/relationships/hyperlink" TargetMode="External" Id="rId72"/><Relationship Target="http://instagram.com/presidentdeath" Type="http://schemas.openxmlformats.org/officeDocument/2006/relationships/hyperlink" TargetMode="External" Id="rId184"/><Relationship Target="http://instagram.com/elephant_dick" Type="http://schemas.openxmlformats.org/officeDocument/2006/relationships/hyperlink" TargetMode="External" Id="rId79"/><Relationship Target="http://instagram.com/jizzay_klitt" Type="http://schemas.openxmlformats.org/officeDocument/2006/relationships/hyperlink" TargetMode="External" Id="rId78"/><Relationship Target="https://twitter.com/jizzay_klitt" Type="http://schemas.openxmlformats.org/officeDocument/2006/relationships/hyperlink" TargetMode="External" Id="rId77"/><Relationship Target="https://twitter.com/rainmanrds" Type="http://schemas.openxmlformats.org/officeDocument/2006/relationships/hyperlink" TargetMode="External" Id="rId189"/><Relationship Target="http://instagram.com/dutch_rds" Type="http://schemas.openxmlformats.org/officeDocument/2006/relationships/hyperlink" TargetMode="External" Id="rId76"/><Relationship Target="https://twitter.com/jaymzmurphy" Type="http://schemas.openxmlformats.org/officeDocument/2006/relationships/hyperlink" TargetMode="External" Id="rId188"/><Relationship Target="https://twitter.com/wk_PoorBastard" Type="http://schemas.openxmlformats.org/officeDocument/2006/relationships/hyperlink" TargetMode="External" Id="rId180"/><Relationship Target="http://instagram.com/dub97gt" Type="http://schemas.openxmlformats.org/officeDocument/2006/relationships/hyperlink" TargetMode="External" Id="rId181"/><Relationship Target="https://twitter.com/Walkerman75" Type="http://schemas.openxmlformats.org/officeDocument/2006/relationships/hyperlink" TargetMode="External" Id="rId182"/><Relationship Target="http://instagram.com/walkerman75" Type="http://schemas.openxmlformats.org/officeDocument/2006/relationships/hyperlink" TargetMode="External" Id="rId183"/><Relationship Target="https://twitter.com/anthony__knight" Type="http://schemas.openxmlformats.org/officeDocument/2006/relationships/hyperlink" TargetMode="External" Id="rId80"/><Relationship Target="https://twitter.com/ihatecumfat" Type="http://schemas.openxmlformats.org/officeDocument/2006/relationships/hyperlink" TargetMode="External" Id="rId82"/><Relationship Target="http://instagram.com/rooster240" Type="http://schemas.openxmlformats.org/officeDocument/2006/relationships/hyperlink" TargetMode="External" Id="rId81"/><Relationship Target="http://instagram.com/adamb2001" Type="http://schemas.openxmlformats.org/officeDocument/2006/relationships/hyperlink" TargetMode="External" Id="rId84"/><Relationship Target="https://twitter.com/need_rehab" Type="http://schemas.openxmlformats.org/officeDocument/2006/relationships/hyperlink" TargetMode="External" Id="rId174"/><Relationship Target="https://twitter.com/adamb2001" Type="http://schemas.openxmlformats.org/officeDocument/2006/relationships/hyperlink" TargetMode="External" Id="rId83"/><Relationship Target="http://instagram.com/taugen" Type="http://schemas.openxmlformats.org/officeDocument/2006/relationships/hyperlink" TargetMode="External" Id="rId173"/><Relationship Target="http://instagram.com/steelystevenson" Type="http://schemas.openxmlformats.org/officeDocument/2006/relationships/hyperlink" TargetMode="External" Id="rId86"/><Relationship Target="http://instagram.com/Philthiest" Type="http://schemas.openxmlformats.org/officeDocument/2006/relationships/hyperlink" TargetMode="External" Id="rId176"/><Relationship Target="https://twitter.com/steelystevenson" Type="http://schemas.openxmlformats.org/officeDocument/2006/relationships/hyperlink" TargetMode="External" Id="rId85"/><Relationship Target="http://instagram.com/alberthiaume" Type="http://schemas.openxmlformats.org/officeDocument/2006/relationships/hyperlink" TargetMode="External" Id="rId175"/><Relationship Target="http://instagram.com/fonzoblunt" Type="http://schemas.openxmlformats.org/officeDocument/2006/relationships/hyperlink" TargetMode="External" Id="rId88"/><Relationship Target="https://twitter.com/JasonFromSD" Type="http://schemas.openxmlformats.org/officeDocument/2006/relationships/hyperlink" TargetMode="External" Id="rId178"/><Relationship Target="https://twitter.com/FonzoBlunt" Type="http://schemas.openxmlformats.org/officeDocument/2006/relationships/hyperlink" TargetMode="External" Id="rId87"/><Relationship Target="http://instagram.com/phillybobb" Type="http://schemas.openxmlformats.org/officeDocument/2006/relationships/hyperlink" TargetMode="External" Id="rId177"/><Relationship Target="https://twitter.com/KimDultz" Type="http://schemas.openxmlformats.org/officeDocument/2006/relationships/hyperlink" TargetMode="External" Id="rId89"/><Relationship Target="http://instagram.com/jasonbehnke" Type="http://schemas.openxmlformats.org/officeDocument/2006/relationships/hyperlink" TargetMode="External" Id="rId179"/><Relationship Target="https://twitter.com/jdscully" Type="http://schemas.openxmlformats.org/officeDocument/2006/relationships/hyperlink" TargetMode="External" Id="rId58"/><Relationship Target="http://instagram.com/jdscully95" Type="http://schemas.openxmlformats.org/officeDocument/2006/relationships/hyperlink" TargetMode="External" Id="rId59"/><Relationship Target="https://twitter.com/TithaS" Type="http://schemas.openxmlformats.org/officeDocument/2006/relationships/hyperlink" TargetMode="External" Id="rId206"/><Relationship Target="http://instagram.com/emilyinsd" Type="http://schemas.openxmlformats.org/officeDocument/2006/relationships/hyperlink" TargetMode="External" Id="rId205"/><Relationship Target="https://twitter.com/emilyinSD" Type="http://schemas.openxmlformats.org/officeDocument/2006/relationships/hyperlink" TargetMode="External" Id="rId204"/><Relationship Target="http://instagram.com/oldmanfry" Type="http://schemas.openxmlformats.org/officeDocument/2006/relationships/hyperlink" TargetMode="External" Id="rId203"/><Relationship Target="https://twitter.com/shit_toboggan" Type="http://schemas.openxmlformats.org/officeDocument/2006/relationships/hyperlink" TargetMode="External" Id="rId209"/><Relationship Target="http://instagram.com/wolffire12" Type="http://schemas.openxmlformats.org/officeDocument/2006/relationships/hyperlink" TargetMode="External" Id="rId208"/><Relationship Target="http://instagram.com/SGTwolfknife" Type="http://schemas.openxmlformats.org/officeDocument/2006/relationships/hyperlink" TargetMode="External" Id="rId207"/><Relationship Target="https://twitter.com/deelove55" Type="http://schemas.openxmlformats.org/officeDocument/2006/relationships/hyperlink" TargetMode="External" Id="rId57"/><Relationship Target="http://instagram.com/br3akpad" Type="http://schemas.openxmlformats.org/officeDocument/2006/relationships/hyperlink" TargetMode="External" Id="rId56"/><Relationship Target="https://twitter.com/Br3akpad" Type="http://schemas.openxmlformats.org/officeDocument/2006/relationships/hyperlink" TargetMode="External" Id="rId55"/><Relationship Target="http://instagram.com/JMessick82" Type="http://schemas.openxmlformats.org/officeDocument/2006/relationships/hyperlink" TargetMode="External" Id="rId54"/><Relationship Target="https://twitter.com/Oldmanfry" Type="http://schemas.openxmlformats.org/officeDocument/2006/relationships/hyperlink" TargetMode="External" Id="rId202"/><Relationship Target="https://twitter.com/JMessick82" Type="http://schemas.openxmlformats.org/officeDocument/2006/relationships/hyperlink" TargetMode="External" Id="rId53"/><Relationship Target="http://instagram.com/Tom295" Type="http://schemas.openxmlformats.org/officeDocument/2006/relationships/hyperlink" TargetMode="External" Id="rId201"/><Relationship Target="http://instagram.com/dougrob70" Type="http://schemas.openxmlformats.org/officeDocument/2006/relationships/hyperlink" TargetMode="External" Id="rId52"/><Relationship Target="https://twitter.com/toms3051" Type="http://schemas.openxmlformats.org/officeDocument/2006/relationships/hyperlink" TargetMode="External" Id="rId200"/><Relationship Target="https://twitter.com/DougRob70" Type="http://schemas.openxmlformats.org/officeDocument/2006/relationships/hyperlink" TargetMode="External" Id="rId51"/><Relationship Target="http://instagram.com/stephiez88" Type="http://schemas.openxmlformats.org/officeDocument/2006/relationships/hyperlink" TargetMode="External" Id="rId50"/><Relationship Target="https://twitter.com/donk3900" Type="http://schemas.openxmlformats.org/officeDocument/2006/relationships/hyperlink" TargetMode="External" Id="rId69"/><Relationship Target="http://instagram.com/brett_mcdaniel" Type="http://schemas.openxmlformats.org/officeDocument/2006/relationships/hyperlink" TargetMode="External" Id="rId60"/><Relationship Target="http://instagram.com/stevetheman_tm" Type="http://schemas.openxmlformats.org/officeDocument/2006/relationships/hyperlink" TargetMode="External" Id="rId66"/><Relationship Target="http://instagram.com/drunkonbabies" Type="http://schemas.openxmlformats.org/officeDocument/2006/relationships/hyperlink" TargetMode="External" Id="rId199"/><Relationship Target="https://twitter.com/SteveTheMan_tm" Type="http://schemas.openxmlformats.org/officeDocument/2006/relationships/hyperlink" TargetMode="External" Id="rId65"/><Relationship Target="http://instagram.com/keithmode" Type="http://schemas.openxmlformats.org/officeDocument/2006/relationships/hyperlink" TargetMode="External" Id="rId68"/><Relationship Target="https://twitter.com/KEITHMODE" Type="http://schemas.openxmlformats.org/officeDocument/2006/relationships/hyperlink" TargetMode="External" Id="rId67"/><Relationship Target="https://twitter.com/Cainester" Type="http://schemas.openxmlformats.org/officeDocument/2006/relationships/hyperlink" TargetMode="External" Id="rId196"/><Relationship Target="http://instagram.com/19mitchs88" Type="http://schemas.openxmlformats.org/officeDocument/2006/relationships/hyperlink" TargetMode="External" Id="rId62"/><Relationship Target="http://instagram.com/jordanstrange666/" Type="http://schemas.openxmlformats.org/officeDocument/2006/relationships/hyperlink" TargetMode="External" Id="rId195"/><Relationship Target="https://twitter.com/19mitchs88" Type="http://schemas.openxmlformats.org/officeDocument/2006/relationships/hyperlink" TargetMode="External" Id="rId61"/><Relationship Target="https://twitter.com/DrunkonBabies" Type="http://schemas.openxmlformats.org/officeDocument/2006/relationships/hyperlink" TargetMode="External" Id="rId198"/><Relationship Target="http://instagram.com/gregdevo" Type="http://schemas.openxmlformats.org/officeDocument/2006/relationships/hyperlink" TargetMode="External" Id="rId64"/><Relationship Target="http://instagram.com/cainester" Type="http://schemas.openxmlformats.org/officeDocument/2006/relationships/hyperlink" TargetMode="External" Id="rId197"/><Relationship Target="https://twitter.com/gregdevo" Type="http://schemas.openxmlformats.org/officeDocument/2006/relationships/hyperlink" TargetMode="External" Id="rId63"/><Relationship Target="https://twitter.com/ERiCtheBuLL" Type="http://schemas.openxmlformats.org/officeDocument/2006/relationships/hyperlink" TargetMode="External" Id="rId2"/><Relationship Target="http://www.officialjasonellis.com" Type="http://schemas.openxmlformats.org/officeDocument/2006/relationships/hyperlink" TargetMode="External" Id="rId1"/><Relationship Target="https://twitter.com/avenne6" Type="http://schemas.openxmlformats.org/officeDocument/2006/relationships/hyperlink" TargetMode="External" Id="rId4"/><Relationship Target="http://instagram.com/ericthebull" Type="http://schemas.openxmlformats.org/officeDocument/2006/relationships/hyperlink" TargetMode="External" Id="rId3"/><Relationship Target="http://instagram.com/bowski477" Type="http://schemas.openxmlformats.org/officeDocument/2006/relationships/hyperlink" TargetMode="External" Id="rId9"/><Relationship Target="https://twitter.com/IrishJayBray" Type="http://schemas.openxmlformats.org/officeDocument/2006/relationships/hyperlink" TargetMode="External" Id="rId6"/><Relationship Target="http://instagram.com/avenne6" Type="http://schemas.openxmlformats.org/officeDocument/2006/relationships/hyperlink" TargetMode="External" Id="rId5"/><Relationship Target="https://twitter.com/bowski477" Type="http://schemas.openxmlformats.org/officeDocument/2006/relationships/hyperlink" TargetMode="External" Id="rId8"/><Relationship Target="https://twitter.com/Treversuko" Type="http://schemas.openxmlformats.org/officeDocument/2006/relationships/hyperlink" TargetMode="External" Id="rId7"/><Relationship Target="http://instagram.com/goatthroatx" Type="http://schemas.openxmlformats.org/officeDocument/2006/relationships/hyperlink" TargetMode="External" Id="rId98"/><Relationship Target="https://twitter.com/mmmluckylager" Type="http://schemas.openxmlformats.org/officeDocument/2006/relationships/hyperlink" TargetMode="External" Id="rId99"/><Relationship Target="http://instagram.com/evanr88" Type="http://schemas.openxmlformats.org/officeDocument/2006/relationships/hyperlink" TargetMode="External" Id="rId94"/><Relationship Target="https://twitter.com/dardar70" Type="http://schemas.openxmlformats.org/officeDocument/2006/relationships/hyperlink" TargetMode="External" Id="rId95"/><Relationship Target="http://instagram.com/DarDar70" Type="http://schemas.openxmlformats.org/officeDocument/2006/relationships/hyperlink" TargetMode="External" Id="rId96"/><Relationship Target="https://twitter.com/BadChad1968" Type="http://schemas.openxmlformats.org/officeDocument/2006/relationships/hyperlink" TargetMode="External" Id="rId97"/><Relationship Target="http://instagram.com/kimdultz" Type="http://schemas.openxmlformats.org/officeDocument/2006/relationships/hyperlink" TargetMode="External" Id="rId90"/><Relationship Target="https://twitter.com/Fuckasaurus_RDS" Type="http://schemas.openxmlformats.org/officeDocument/2006/relationships/hyperlink" TargetMode="External" Id="rId91"/><Relationship Target="http://instagram.com/fuckasaurus_wolfknives" Type="http://schemas.openxmlformats.org/officeDocument/2006/relationships/hyperlink" TargetMode="External" Id="rId92"/><Relationship Target="https://twitter.com/dcucowboy" Type="http://schemas.openxmlformats.org/officeDocument/2006/relationships/hyperlink" TargetMode="External" Id="rId93"/><Relationship Target="https://twitter.com/ViPER_EAW" Type="http://schemas.openxmlformats.org/officeDocument/2006/relationships/hyperlink" TargetMode="External" Id="rId259"/><Relationship Target="http://instagram.com/twistedmetalfab" Type="http://schemas.openxmlformats.org/officeDocument/2006/relationships/hyperlink" TargetMode="External" Id="rId258"/><Relationship Target="http://instagram.com/cantsk8rds" Type="http://schemas.openxmlformats.org/officeDocument/2006/relationships/hyperlink" TargetMode="External" Id="rId253"/><Relationship Target="https://twitter.com/cantskateanymre" Type="http://schemas.openxmlformats.org/officeDocument/2006/relationships/hyperlink" TargetMode="External" Id="rId252"/><Relationship Target="http://instagram.com/tripletee" Type="http://schemas.openxmlformats.org/officeDocument/2006/relationships/hyperlink" TargetMode="External" Id="rId251"/><Relationship Target="https://twitter.com/atmbcool" Type="http://schemas.openxmlformats.org/officeDocument/2006/relationships/hyperlink" TargetMode="External" Id="rId250"/><Relationship Target="https://twitter.com/TwistedMetalFab" Type="http://schemas.openxmlformats.org/officeDocument/2006/relationships/hyperlink" TargetMode="External" Id="rId257"/><Relationship Target="http://instagram.com/tubinspecter" Type="http://schemas.openxmlformats.org/officeDocument/2006/relationships/hyperlink" TargetMode="External" Id="rId256"/><Relationship Target="https://twitter.com/tubeinspecter" Type="http://schemas.openxmlformats.org/officeDocument/2006/relationships/hyperlink" TargetMode="External" Id="rId255"/><Relationship Target="https://twitter.com/Truk_Norris" Type="http://schemas.openxmlformats.org/officeDocument/2006/relationships/hyperlink" TargetMode="External" Id="rId254"/><Relationship Target="http://instagram.com/viper_eaw" Type="http://schemas.openxmlformats.org/officeDocument/2006/relationships/hyperlink" TargetMode="External" Id="rId260"/><Relationship Target="https://twitter.com/AlanLC1979" Type="http://schemas.openxmlformats.org/officeDocument/2006/relationships/hyperlink" TargetMode="External" Id="rId109"/><Relationship Target="../drawings/drawing1.xml" Type="http://schemas.openxmlformats.org/officeDocument/2006/relationships/drawing" Id="rId269"/><Relationship Target="https://twitter.com/bigalont" Type="http://schemas.openxmlformats.org/officeDocument/2006/relationships/hyperlink" TargetMode="External" Id="rId108"/><Relationship Target="http://instagram.com/ReynMuthaFucka" Type="http://schemas.openxmlformats.org/officeDocument/2006/relationships/hyperlink" TargetMode="External" Id="rId105"/><Relationship Target="https://twitter.com/ReynMuthaFucka/" Type="http://schemas.openxmlformats.org/officeDocument/2006/relationships/hyperlink" TargetMode="External" Id="rId104"/><Relationship Target="http://instagram.com/Harry_Poppins_Wolfknifes" Type="http://schemas.openxmlformats.org/officeDocument/2006/relationships/hyperlink" TargetMode="External" Id="rId107"/><Relationship Target="https://twitter.com/Harry_Poppins_" Type="http://schemas.openxmlformats.org/officeDocument/2006/relationships/hyperlink" TargetMode="External" Id="rId106"/><Relationship Target="https://twitter.com/frontline1" Type="http://schemas.openxmlformats.org/officeDocument/2006/relationships/hyperlink" TargetMode="External" Id="rId262"/><Relationship Target="http://instagram.com/mar1o_rds" Type="http://schemas.openxmlformats.org/officeDocument/2006/relationships/hyperlink" TargetMode="External" Id="rId101"/><Relationship Target="https://twitter.com/MaddTrippNz" Type="http://schemas.openxmlformats.org/officeDocument/2006/relationships/hyperlink" TargetMode="External" Id="rId261"/><Relationship Target="https://twitter.com/mariocc_rds" Type="http://schemas.openxmlformats.org/officeDocument/2006/relationships/hyperlink" TargetMode="External" Id="rId100"/><Relationship Target="http://instagram.com/pdx_fan" Type="http://schemas.openxmlformats.org/officeDocument/2006/relationships/hyperlink" TargetMode="External" Id="rId264"/><Relationship Target="http://instagram.com/grumpiehmt" Type="http://schemas.openxmlformats.org/officeDocument/2006/relationships/hyperlink" TargetMode="External" Id="rId103"/><Relationship Target="https://twitter.com/fm_fan2012" Type="http://schemas.openxmlformats.org/officeDocument/2006/relationships/hyperlink" TargetMode="External" Id="rId263"/><Relationship Target="https://twitter.com/grumpiehmt" Type="http://schemas.openxmlformats.org/officeDocument/2006/relationships/hyperlink" TargetMode="External" Id="rId102"/><Relationship Target="http://instagram.com/wolfman812" Type="http://schemas.openxmlformats.org/officeDocument/2006/relationships/hyperlink" TargetMode="External" Id="rId266"/><Relationship Target="https://twitter.com/Wolfman812" Type="http://schemas.openxmlformats.org/officeDocument/2006/relationships/hyperlink" TargetMode="External" Id="rId265"/><Relationship Target="http://instagram.com/wolfmate" Type="http://schemas.openxmlformats.org/officeDocument/2006/relationships/hyperlink" TargetMode="External" Id="rId268"/><Relationship Target="https://twitter.com/EllisMate" Type="http://schemas.openxmlformats.org/officeDocument/2006/relationships/hyperlink" TargetMode="External" Id="rId267"/><Relationship Target="https://twitter.com/spryguy25" Type="http://schemas.openxmlformats.org/officeDocument/2006/relationships/hyperlink" TargetMode="External" Id="rId118"/><Relationship Target="http://instagram.com/hyena_fist74" Type="http://schemas.openxmlformats.org/officeDocument/2006/relationships/hyperlink" TargetMode="External" Id="rId117"/><Relationship Target="https://twitter.com/Hyena_Fist" Type="http://schemas.openxmlformats.org/officeDocument/2006/relationships/hyperlink" TargetMode="External" Id="rId116"/><Relationship Target="http://instagram.com/hotdog_theintern" Type="http://schemas.openxmlformats.org/officeDocument/2006/relationships/hyperlink" TargetMode="External" Id="rId115"/><Relationship Target="https://twitter.com/azkellie" Type="http://schemas.openxmlformats.org/officeDocument/2006/relationships/hyperlink" TargetMode="External" Id="rId119"/><Relationship Target="http://instagram.com/AlanLC1979" Type="http://schemas.openxmlformats.org/officeDocument/2006/relationships/hyperlink" TargetMode="External" Id="rId110"/><Relationship Target="https://twitter.com/Hot_Dog41" Type="http://schemas.openxmlformats.org/officeDocument/2006/relationships/hyperlink" TargetMode="External" Id="rId114"/><Relationship Target="https://twitter.com/puttyman5000" Type="http://schemas.openxmlformats.org/officeDocument/2006/relationships/hyperlink" TargetMode="External" Id="rId113"/><Relationship Target="http://instagram.com/mandyriese" Type="http://schemas.openxmlformats.org/officeDocument/2006/relationships/hyperlink" TargetMode="External" Id="rId112"/><Relationship Target="https://twitter.com/MandyRiese" Type="http://schemas.openxmlformats.org/officeDocument/2006/relationships/hyperlink" TargetMode="External" Id="rId111"/><Relationship Target="http://instagram.com/deadletters/" Type="http://schemas.openxmlformats.org/officeDocument/2006/relationships/hyperlink" TargetMode="External" Id="rId127"/><Relationship Target="http://instagram.com/leebunting" Type="http://schemas.openxmlformats.org/officeDocument/2006/relationships/hyperlink" TargetMode="External" Id="rId126"/><Relationship Target="http://instagram.com/johninhouston" Type="http://schemas.openxmlformats.org/officeDocument/2006/relationships/hyperlink" TargetMode="External" Id="rId129"/><Relationship Target="https://twitter.com/johninhouston" Type="http://schemas.openxmlformats.org/officeDocument/2006/relationships/hyperlink" TargetMode="External" Id="rId128"/><Relationship Target="https://twitter.com/mauibry" Type="http://schemas.openxmlformats.org/officeDocument/2006/relationships/hyperlink" TargetMode="External" Id="rId121"/><Relationship Target="http://instagram.com/azkellie" Type="http://schemas.openxmlformats.org/officeDocument/2006/relationships/hyperlink" TargetMode="External" Id="rId120"/><Relationship Target="https://twitter.com/RadioJetta" Type="http://schemas.openxmlformats.org/officeDocument/2006/relationships/hyperlink" TargetMode="External" Id="rId123"/><Relationship Target="http://instagram.com/mauibry" Type="http://schemas.openxmlformats.org/officeDocument/2006/relationships/hyperlink" TargetMode="External" Id="rId122"/><Relationship Target="https://twitter.com/leebunting" Type="http://schemas.openxmlformats.org/officeDocument/2006/relationships/hyperlink" TargetMode="External" Id="rId125"/><Relationship Target="http://instagram.com/radiojetta" Type="http://schemas.openxmlformats.org/officeDocument/2006/relationships/hyperlink" TargetMode="External" Id="rId12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B3" activeCell="B3" pane="bottomLeft"/>
    </sheetView>
  </sheetViews>
  <sheetFormatPr customHeight="1" defaultColWidth="14.43" defaultRowHeight="15.75"/>
  <cols>
    <col min="1" customWidth="1" max="1" width="29.14"/>
    <col min="2" customWidth="1" max="2" width="13.71"/>
    <col min="3" customWidth="1" max="3" width="14.57"/>
    <col min="4" customWidth="1" max="4" width="18.14"/>
    <col min="5" customWidth="1" max="5" width="19.14"/>
    <col min="6" customWidth="1" max="6" width="24.86"/>
    <col min="7" customWidth="1" max="7" width="17.0"/>
    <col min="8" customWidth="1" max="8" width="24.57"/>
    <col min="9" customWidth="1" max="9" width="25.0"/>
  </cols>
  <sheetData>
    <row customHeight="1" r="1" ht="15.0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  <c t="str" s="2" r="G1">
        <f>HYPERLINK("http://www.officialjasonellis.com","OJE.com")</f>
        <v>OJE.com</v>
      </c>
      <c t="s" s="1" r="H1">
        <v>6</v>
      </c>
      <c t="s" s="1" r="I1">
        <v>7</v>
      </c>
      <c s="3" r="J1"/>
      <c s="3" r="K1"/>
      <c s="3" r="L1"/>
      <c s="3" r="M1"/>
      <c s="3" r="N1"/>
      <c s="3" r="O1"/>
      <c s="3" r="P1"/>
      <c s="3" r="Q1"/>
      <c s="3" r="R1"/>
      <c s="3" r="S1"/>
      <c s="3" r="T1"/>
      <c s="3" r="U1"/>
      <c s="3" r="V1"/>
      <c s="3" r="W1"/>
      <c s="3" r="X1"/>
      <c s="3" r="Y1"/>
      <c s="3" r="Z1"/>
      <c s="3" r="AA1"/>
    </row>
    <row r="2">
      <c t="s" s="4" r="A2">
        <v>8</v>
      </c>
      <c t="s" s="4" r="B2">
        <v>9</v>
      </c>
      <c s="4" r="C2"/>
      <c t="s" s="4" r="D2">
        <v>10</v>
      </c>
      <c t="str" s="5" r="E2">
        <f>HYPERLINK("https://twitter.com/ERiCtheBuLL","@ericthebull")</f>
        <v>@ericthebull</v>
      </c>
      <c t="str" s="5" r="F2">
        <f>HYPERLINK("http://instagram.com/ericthebull","@ericthebull")</f>
        <v>@ericthebull</v>
      </c>
      <c s="6" r="G2"/>
      <c t="s" s="4" r="H2">
        <v>11</v>
      </c>
      <c s="6" r="I2"/>
      <c s="6" r="J2"/>
      <c s="6" r="K2"/>
      <c s="6" r="L2"/>
      <c s="6" r="M2"/>
      <c s="6" r="N2"/>
      <c s="6" r="O2"/>
      <c s="6" r="P2"/>
      <c s="6" r="Q2"/>
      <c s="6" r="R2"/>
      <c s="6" r="S2"/>
      <c s="6" r="T2"/>
      <c s="6" r="U2"/>
      <c s="6" r="V2"/>
      <c s="6" r="W2"/>
      <c s="6" r="X2"/>
      <c s="6" r="Y2"/>
      <c s="6" r="Z2"/>
      <c s="6" r="AA2"/>
    </row>
    <row r="3">
      <c t="s" s="7" r="A3">
        <v>12</v>
      </c>
      <c t="s" s="7" r="B3">
        <v>13</v>
      </c>
      <c t="s" s="7" r="C3">
        <v>14</v>
      </c>
      <c s="8" r="D3"/>
      <c s="8" r="E3"/>
      <c s="8" r="F3"/>
      <c s="8" r="G3"/>
      <c s="8" r="H3"/>
      <c s="8" r="I3"/>
      <c s="8" r="J3"/>
      <c s="8" r="K3"/>
      <c s="8" r="L3"/>
      <c s="8" r="M3"/>
      <c s="8" r="N3"/>
      <c s="8" r="O3"/>
      <c s="8" r="P3"/>
      <c s="8" r="Q3"/>
      <c s="8" r="R3"/>
      <c s="8" r="S3"/>
      <c s="8" r="T3"/>
      <c s="8" r="U3"/>
      <c s="8" r="V3"/>
      <c s="8" r="W3"/>
      <c s="8" r="X3"/>
      <c s="8" r="Y3"/>
      <c s="8" r="Z3"/>
      <c s="8" r="AA3"/>
    </row>
    <row r="4">
      <c t="s" s="7" r="A4">
        <v>15</v>
      </c>
      <c t="s" s="7" r="B4">
        <v>16</v>
      </c>
      <c t="s" s="7" r="C4">
        <v>17</v>
      </c>
      <c s="8" r="D4"/>
      <c s="8" r="E4"/>
      <c s="8" r="F4"/>
      <c s="8" r="G4"/>
      <c s="8" r="H4"/>
      <c s="8" r="I4"/>
      <c s="8" r="J4"/>
      <c s="8" r="K4"/>
      <c s="8" r="L4"/>
      <c s="8" r="M4"/>
      <c s="8" r="N4"/>
      <c s="8" r="O4"/>
      <c s="8" r="P4"/>
      <c s="8" r="Q4"/>
      <c s="8" r="R4"/>
      <c s="8" r="S4"/>
      <c s="8" r="T4"/>
      <c s="8" r="U4"/>
      <c s="8" r="V4"/>
      <c s="8" r="W4"/>
      <c s="8" r="X4"/>
      <c s="8" r="Y4"/>
      <c s="8" r="Z4"/>
      <c s="8" r="AA4"/>
    </row>
    <row r="5">
      <c t="s" s="7" r="A5">
        <v>18</v>
      </c>
      <c t="s" s="7" r="B5">
        <v>19</v>
      </c>
      <c t="s" s="7" r="C5">
        <v>20</v>
      </c>
      <c s="8" r="D5"/>
      <c s="8" r="E5"/>
      <c s="8" r="F5"/>
      <c s="8" r="G5"/>
      <c s="8" r="H5"/>
      <c s="8" r="I5"/>
      <c s="8" r="J5"/>
      <c s="8" r="K5"/>
      <c s="8" r="L5"/>
      <c s="8" r="M5"/>
      <c s="8" r="N5"/>
      <c s="8" r="O5"/>
      <c s="8" r="P5"/>
      <c s="8" r="Q5"/>
      <c s="8" r="R5"/>
      <c s="8" r="S5"/>
      <c s="8" r="T5"/>
      <c s="8" r="U5"/>
      <c s="8" r="V5"/>
      <c s="8" r="W5"/>
      <c s="8" r="X5"/>
      <c s="8" r="Y5"/>
      <c s="8" r="Z5"/>
      <c s="8" r="AA5"/>
    </row>
    <row r="6">
      <c t="s" s="7" r="A6">
        <v>21</v>
      </c>
      <c t="s" s="7" r="B6">
        <v>22</v>
      </c>
      <c t="s" s="7" r="C6">
        <v>23</v>
      </c>
      <c s="8" r="D6"/>
      <c s="8" r="E6"/>
      <c s="8" r="F6"/>
      <c s="8" r="G6"/>
      <c s="8" r="H6"/>
      <c s="8" r="I6"/>
      <c s="8" r="J6"/>
      <c s="8" r="K6"/>
      <c s="8" r="L6"/>
      <c s="8" r="M6"/>
      <c s="8" r="N6"/>
      <c s="8" r="O6"/>
      <c s="8" r="P6"/>
      <c s="8" r="Q6"/>
      <c s="8" r="R6"/>
      <c s="8" r="S6"/>
      <c s="8" r="T6"/>
      <c s="8" r="U6"/>
      <c s="8" r="V6"/>
      <c s="8" r="W6"/>
      <c s="8" r="X6"/>
      <c s="8" r="Y6"/>
      <c s="8" r="Z6"/>
      <c s="8" r="AA6"/>
    </row>
    <row r="7">
      <c t="s" s="7" r="A7">
        <v>24</v>
      </c>
      <c t="s" s="7" r="B7">
        <v>25</v>
      </c>
      <c t="s" s="7" r="C7">
        <v>26</v>
      </c>
      <c s="8" r="D7"/>
      <c s="8" r="E7"/>
      <c s="8" r="F7"/>
      <c s="8" r="G7"/>
      <c s="8" r="H7"/>
      <c s="8" r="I7"/>
      <c s="8" r="J7"/>
      <c s="8" r="K7"/>
      <c s="8" r="L7"/>
      <c s="8" r="M7"/>
      <c s="8" r="N7"/>
      <c s="8" r="O7"/>
      <c s="8" r="P7"/>
      <c s="8" r="Q7"/>
      <c s="8" r="R7"/>
      <c s="8" r="S7"/>
      <c s="8" r="T7"/>
      <c s="8" r="U7"/>
      <c s="8" r="V7"/>
      <c s="8" r="W7"/>
      <c s="8" r="X7"/>
      <c s="8" r="Y7"/>
      <c s="8" r="Z7"/>
      <c s="8" r="AA7"/>
    </row>
    <row r="8">
      <c t="s" s="7" r="A8">
        <v>27</v>
      </c>
      <c t="s" s="7" r="B8">
        <v>28</v>
      </c>
      <c t="s" s="7" r="C8">
        <v>29</v>
      </c>
      <c t="s" s="7" r="D8">
        <v>30</v>
      </c>
      <c t="str" s="9" r="E8">
        <f>HYPERLINK("https://twitter.com/avenne6","@avenne6")</f>
        <v>@avenne6</v>
      </c>
      <c t="str" s="9" r="F8">
        <f>HYPERLINK("http://instagram.com/avenne6","@avenne6")</f>
        <v>@avenne6</v>
      </c>
      <c t="str" s="10" r="G8">
        <f>HYPERLINK("http://instagram.com/avenne6","avenne6")</f>
        <v>avenne6</v>
      </c>
      <c s="8" r="H8"/>
      <c s="8" r="I8"/>
      <c s="8" r="J8"/>
      <c s="8" r="K8"/>
      <c s="8" r="L8"/>
      <c s="8" r="M8"/>
      <c s="8" r="N8"/>
      <c s="8" r="O8"/>
      <c s="8" r="P8"/>
      <c s="8" r="Q8"/>
      <c s="8" r="R8"/>
      <c s="8" r="S8"/>
      <c s="8" r="T8"/>
      <c s="8" r="U8"/>
      <c s="8" r="V8"/>
      <c s="8" r="W8"/>
      <c s="8" r="X8"/>
      <c s="8" r="Y8"/>
      <c s="8" r="Z8"/>
      <c s="8" r="AA8"/>
    </row>
    <row r="9">
      <c t="s" s="7" r="A9">
        <v>31</v>
      </c>
      <c t="s" s="7" r="B9">
        <v>32</v>
      </c>
      <c t="s" s="7" r="C9">
        <v>33</v>
      </c>
      <c t="s" s="7" r="D9">
        <v>34</v>
      </c>
      <c t="str" s="9" r="E9">
        <f>HYPERLINK("https://twitter.com/IrishJayBray","@irishjaybray")</f>
        <v>@irishjaybray</v>
      </c>
      <c s="10" r="F9"/>
      <c t="s" s="7" r="G9">
        <v>35</v>
      </c>
      <c s="8" r="H9"/>
      <c s="8" r="I9"/>
      <c s="8" r="J9"/>
      <c s="8" r="K9"/>
      <c s="8" r="L9"/>
      <c s="8" r="M9"/>
      <c s="8" r="N9"/>
      <c s="8" r="O9"/>
      <c s="8" r="P9"/>
      <c s="8" r="Q9"/>
      <c s="8" r="R9"/>
      <c s="8" r="S9"/>
      <c s="8" r="T9"/>
      <c s="8" r="U9"/>
      <c s="8" r="V9"/>
      <c s="8" r="W9"/>
      <c s="8" r="X9"/>
      <c s="8" r="Y9"/>
      <c s="8" r="Z9"/>
      <c s="8" r="AA9"/>
    </row>
    <row r="10">
      <c t="s" s="7" r="A10">
        <v>36</v>
      </c>
      <c t="s" s="7" r="B10">
        <v>37</v>
      </c>
      <c t="s" s="7" r="C10">
        <v>38</v>
      </c>
      <c s="8" r="D10"/>
      <c s="8" r="E10"/>
      <c s="8" r="F10"/>
      <c s="8" r="G10"/>
      <c s="8" r="H10"/>
      <c s="8" r="I10"/>
      <c s="8" r="J10"/>
      <c s="8" r="K10"/>
      <c s="8" r="L10"/>
      <c s="8" r="M10"/>
      <c s="8" r="N10"/>
      <c s="8" r="O10"/>
      <c s="8" r="P10"/>
      <c s="8" r="Q10"/>
      <c s="8" r="R10"/>
      <c s="8" r="S10"/>
      <c s="8" r="T10"/>
      <c s="8" r="U10"/>
      <c s="8" r="V10"/>
      <c s="8" r="W10"/>
      <c s="8" r="X10"/>
      <c s="8" r="Y10"/>
      <c s="8" r="Z10"/>
      <c s="8" r="AA10"/>
    </row>
    <row r="11">
      <c t="s" s="7" r="A11">
        <v>39</v>
      </c>
      <c t="s" s="7" r="B11">
        <v>40</v>
      </c>
      <c t="s" s="7" r="C11">
        <v>41</v>
      </c>
      <c s="8" r="D11"/>
      <c s="8" r="E11"/>
      <c s="8" r="F11"/>
      <c s="8" r="G11"/>
      <c s="8" r="H11"/>
      <c s="8" r="I11"/>
      <c s="8" r="J11"/>
      <c s="8" r="K11"/>
      <c s="8" r="L11"/>
      <c s="8" r="M11"/>
      <c s="8" r="N11"/>
      <c s="8" r="O11"/>
      <c s="8" r="P11"/>
      <c s="8" r="Q11"/>
      <c s="8" r="R11"/>
      <c s="8" r="S11"/>
      <c s="8" r="T11"/>
      <c s="8" r="U11"/>
      <c s="8" r="V11"/>
      <c s="8" r="W11"/>
      <c s="8" r="X11"/>
      <c s="8" r="Y11"/>
      <c s="8" r="Z11"/>
      <c s="8" r="AA11"/>
    </row>
    <row r="12">
      <c t="s" s="7" r="A12">
        <v>42</v>
      </c>
      <c t="s" s="7" r="B12">
        <v>43</v>
      </c>
      <c t="s" s="7" r="C12">
        <v>44</v>
      </c>
      <c s="8" r="D12"/>
      <c s="8" r="E12"/>
      <c s="8" r="F12"/>
      <c s="8" r="G12"/>
      <c s="8" r="H12"/>
      <c s="8" r="I12"/>
      <c s="8" r="J12"/>
      <c s="8" r="K12"/>
      <c s="8" r="L12"/>
      <c s="8" r="M12"/>
      <c s="8" r="N12"/>
      <c s="8" r="O12"/>
      <c s="8" r="P12"/>
      <c s="8" r="Q12"/>
      <c s="8" r="R12"/>
      <c s="8" r="S12"/>
      <c s="8" r="T12"/>
      <c s="8" r="U12"/>
      <c s="8" r="V12"/>
      <c s="8" r="W12"/>
      <c s="8" r="X12"/>
      <c s="8" r="Y12"/>
      <c s="8" r="Z12"/>
      <c s="8" r="AA12"/>
    </row>
    <row r="13">
      <c t="s" s="7" r="A13">
        <v>45</v>
      </c>
      <c t="s" s="7" r="B13">
        <v>46</v>
      </c>
      <c t="s" s="7" r="C13">
        <v>47</v>
      </c>
      <c s="8" r="D13"/>
      <c s="8" r="E13"/>
      <c s="8" r="F13"/>
      <c s="8" r="G13"/>
      <c s="8" r="H13"/>
      <c s="8" r="I13"/>
      <c s="8" r="J13"/>
      <c s="8" r="K13"/>
      <c s="8" r="L13"/>
      <c s="8" r="M13"/>
      <c s="8" r="N13"/>
      <c s="8" r="O13"/>
      <c s="8" r="P13"/>
      <c s="8" r="Q13"/>
      <c s="8" r="R13"/>
      <c s="8" r="S13"/>
      <c s="8" r="T13"/>
      <c s="8" r="U13"/>
      <c s="8" r="V13"/>
      <c s="8" r="W13"/>
      <c s="8" r="X13"/>
      <c s="8" r="Y13"/>
      <c s="8" r="Z13"/>
      <c s="8" r="AA13"/>
    </row>
    <row r="14">
      <c t="s" s="7" r="A14">
        <v>48</v>
      </c>
      <c t="s" s="7" r="B14">
        <v>49</v>
      </c>
      <c t="s" s="7" r="C14">
        <v>50</v>
      </c>
      <c t="s" s="7" r="D14">
        <v>51</v>
      </c>
      <c t="str" s="9" r="E14">
        <f>HYPERLINK("https://twitter.com/Treversuko","@TreverSuko")</f>
        <v>@TreverSuko</v>
      </c>
      <c s="8" r="F14"/>
      <c s="8" r="G14"/>
      <c s="8" r="H14"/>
      <c s="8" r="I14"/>
      <c s="8" r="J14"/>
      <c s="8" r="K14"/>
      <c s="8" r="L14"/>
      <c s="8" r="M14"/>
      <c s="8" r="N14"/>
      <c s="8" r="O14"/>
      <c s="8" r="P14"/>
      <c s="8" r="Q14"/>
      <c s="8" r="R14"/>
      <c s="8" r="S14"/>
      <c s="8" r="T14"/>
      <c s="8" r="U14"/>
      <c s="8" r="V14"/>
      <c s="8" r="W14"/>
      <c s="8" r="X14"/>
      <c s="8" r="Y14"/>
      <c s="8" r="Z14"/>
      <c s="8" r="AA14"/>
    </row>
    <row r="15">
      <c t="s" s="7" r="A15">
        <v>52</v>
      </c>
      <c t="s" s="7" r="B15">
        <v>53</v>
      </c>
      <c t="s" s="7" r="C15">
        <v>54</v>
      </c>
      <c t="s" s="7" r="D15">
        <v>55</v>
      </c>
      <c t="str" s="9" r="E15">
        <f>HYPERLINK("https://twitter.com/bowski477","@bowski477")</f>
        <v>@bowski477</v>
      </c>
      <c t="str" s="9" r="F15">
        <f>HYPERLINK("http://instagram.com/bowski477","@bowski477")</f>
        <v>@bowski477</v>
      </c>
      <c t="s" s="7" r="G15">
        <v>56</v>
      </c>
      <c s="7" r="H15"/>
      <c s="8" r="I15"/>
      <c s="8" r="J15"/>
      <c s="8" r="K15"/>
      <c s="8" r="L15"/>
      <c s="8" r="M15"/>
      <c s="8" r="N15"/>
      <c s="8" r="O15"/>
      <c s="8" r="P15"/>
      <c s="8" r="Q15"/>
      <c s="8" r="R15"/>
      <c s="8" r="S15"/>
      <c s="8" r="T15"/>
      <c s="8" r="U15"/>
      <c s="8" r="V15"/>
      <c s="8" r="W15"/>
      <c s="8" r="X15"/>
      <c s="8" r="Y15"/>
      <c s="8" r="Z15"/>
      <c s="8" r="AA15"/>
    </row>
    <row r="16">
      <c t="s" s="7" r="A16">
        <v>57</v>
      </c>
      <c t="s" s="7" r="B16">
        <v>58</v>
      </c>
      <c t="s" s="7" r="C16">
        <v>59</v>
      </c>
      <c t="s" s="7" r="D16">
        <v>60</v>
      </c>
      <c t="str" s="9" r="E16">
        <f>HYPERLINK("https://twitter.com/Marasta76","@Marasta76")</f>
        <v>@Marasta76</v>
      </c>
      <c t="str" s="9" r="F16">
        <f>HYPERLINK("http://instagram.com/marasta","@Marasta")</f>
        <v>@Marasta</v>
      </c>
      <c s="8" r="G16"/>
      <c s="8" r="H16"/>
      <c s="8" r="I16"/>
      <c s="8" r="J16"/>
      <c s="8" r="K16"/>
      <c s="8" r="L16"/>
      <c s="8" r="M16"/>
      <c s="8" r="N16"/>
      <c s="8" r="O16"/>
      <c s="8" r="P16"/>
      <c s="8" r="Q16"/>
      <c s="8" r="R16"/>
      <c s="8" r="S16"/>
      <c s="8" r="T16"/>
      <c s="8" r="U16"/>
      <c s="8" r="V16"/>
      <c s="8" r="W16"/>
      <c s="8" r="X16"/>
      <c s="8" r="Y16"/>
      <c s="8" r="Z16"/>
      <c s="8" r="AA16"/>
    </row>
    <row r="17">
      <c t="s" s="7" r="A17">
        <v>61</v>
      </c>
      <c t="s" s="7" r="B17">
        <v>62</v>
      </c>
      <c t="s" s="7" r="C17">
        <v>63</v>
      </c>
      <c t="s" s="7" r="D17">
        <v>64</v>
      </c>
      <c s="8" r="E17"/>
      <c s="8" r="F17"/>
      <c s="8" r="G17"/>
      <c s="8" r="H17"/>
      <c s="8" r="I17"/>
      <c s="8" r="J17"/>
      <c s="8" r="K17"/>
      <c s="8" r="L17"/>
      <c s="8" r="M17"/>
      <c s="8" r="N17"/>
      <c s="8" r="O17"/>
      <c s="8" r="P17"/>
      <c s="8" r="Q17"/>
      <c s="8" r="R17"/>
      <c s="8" r="S17"/>
      <c s="8" r="T17"/>
      <c s="8" r="U17"/>
      <c s="8" r="V17"/>
      <c s="8" r="W17"/>
      <c s="8" r="X17"/>
      <c s="8" r="Y17"/>
      <c s="8" r="Z17"/>
      <c s="8" r="AA17"/>
    </row>
    <row r="18">
      <c t="s" s="7" r="A18">
        <v>65</v>
      </c>
      <c t="s" s="7" r="B18">
        <v>66</v>
      </c>
      <c t="s" s="7" r="C18">
        <v>67</v>
      </c>
      <c s="8" r="D18"/>
      <c s="8" r="E18"/>
      <c s="8" r="F18"/>
      <c s="8" r="G18"/>
      <c s="8" r="H18"/>
      <c s="8" r="I18"/>
      <c s="8" r="J18"/>
      <c s="8" r="K18"/>
      <c s="8" r="L18"/>
      <c s="8" r="M18"/>
      <c s="8" r="N18"/>
      <c s="8" r="O18"/>
      <c s="8" r="P18"/>
      <c s="8" r="Q18"/>
      <c s="8" r="R18"/>
      <c s="8" r="S18"/>
      <c s="8" r="T18"/>
      <c s="8" r="U18"/>
      <c s="8" r="V18"/>
      <c s="8" r="W18"/>
      <c s="8" r="X18"/>
      <c s="8" r="Y18"/>
      <c s="8" r="Z18"/>
      <c s="8" r="AA18"/>
    </row>
    <row r="19">
      <c t="s" s="7" r="A19">
        <v>68</v>
      </c>
      <c t="s" s="7" r="B19">
        <v>69</v>
      </c>
      <c t="s" s="7" r="C19">
        <v>70</v>
      </c>
      <c s="8" r="D19"/>
      <c s="8" r="E19"/>
      <c s="8" r="F19"/>
      <c s="8" r="G19"/>
      <c s="8" r="H19"/>
      <c s="8" r="I19"/>
      <c s="8" r="J19"/>
      <c s="8" r="K19"/>
      <c s="8" r="L19"/>
      <c s="8" r="M19"/>
      <c s="8" r="N19"/>
      <c s="8" r="O19"/>
      <c s="8" r="P19"/>
      <c s="8" r="Q19"/>
      <c s="8" r="R19"/>
      <c s="8" r="S19"/>
      <c s="8" r="T19"/>
      <c s="8" r="U19"/>
      <c s="8" r="V19"/>
      <c s="8" r="W19"/>
      <c s="8" r="X19"/>
      <c s="8" r="Y19"/>
      <c s="8" r="Z19"/>
      <c s="8" r="AA19"/>
    </row>
    <row r="20">
      <c t="s" s="7" r="A20">
        <v>71</v>
      </c>
      <c t="s" s="7" r="B20">
        <v>72</v>
      </c>
      <c t="s" s="7" r="C20">
        <v>73</v>
      </c>
      <c s="8" r="D20"/>
      <c s="8" r="E20"/>
      <c s="8" r="F20"/>
      <c s="8" r="G20"/>
      <c s="8" r="H20"/>
      <c s="8" r="I20"/>
      <c s="8" r="J20"/>
      <c s="8" r="K20"/>
      <c s="8" r="L20"/>
      <c s="8" r="M20"/>
      <c s="8" r="N20"/>
      <c s="8" r="O20"/>
      <c s="8" r="P20"/>
      <c s="8" r="Q20"/>
      <c s="8" r="R20"/>
      <c s="8" r="S20"/>
      <c s="8" r="T20"/>
      <c s="8" r="U20"/>
      <c s="8" r="V20"/>
      <c s="8" r="W20"/>
      <c s="8" r="X20"/>
      <c s="8" r="Y20"/>
      <c s="8" r="Z20"/>
      <c s="8" r="AA20"/>
    </row>
    <row r="21">
      <c t="s" s="7" r="A21">
        <v>74</v>
      </c>
      <c t="s" s="7" r="B21">
        <v>75</v>
      </c>
      <c t="s" s="7" r="C21">
        <v>76</v>
      </c>
      <c s="8" r="D21"/>
      <c s="8" r="E21"/>
      <c s="8" r="F21"/>
      <c s="8" r="G21"/>
      <c s="8" r="H21"/>
      <c s="8" r="I21"/>
      <c s="8" r="J21"/>
      <c s="8" r="K21"/>
      <c s="8" r="L21"/>
      <c s="8" r="M21"/>
      <c s="8" r="N21"/>
      <c s="8" r="O21"/>
      <c s="8" r="P21"/>
      <c s="8" r="Q21"/>
      <c s="8" r="R21"/>
      <c s="8" r="S21"/>
      <c s="8" r="T21"/>
      <c s="8" r="U21"/>
      <c s="8" r="V21"/>
      <c s="8" r="W21"/>
      <c s="8" r="X21"/>
      <c s="8" r="Y21"/>
      <c s="8" r="Z21"/>
      <c s="8" r="AA21"/>
    </row>
    <row r="22">
      <c t="s" s="7" r="A22">
        <v>77</v>
      </c>
      <c t="s" s="7" r="B22">
        <v>78</v>
      </c>
      <c t="s" s="7" r="C22">
        <v>79</v>
      </c>
      <c s="8" r="D22"/>
      <c s="8" r="E22"/>
      <c s="8" r="F22"/>
      <c s="8" r="G22"/>
      <c s="8" r="H22"/>
      <c s="8" r="I22"/>
      <c s="8" r="J22"/>
      <c s="8" r="K22"/>
      <c s="8" r="L22"/>
      <c s="8" r="M22"/>
      <c s="8" r="N22"/>
      <c s="8" r="O22"/>
      <c s="8" r="P22"/>
      <c s="8" r="Q22"/>
      <c s="8" r="R22"/>
      <c s="8" r="S22"/>
      <c s="8" r="T22"/>
      <c s="8" r="U22"/>
      <c s="8" r="V22"/>
      <c s="8" r="W22"/>
      <c s="8" r="X22"/>
      <c s="8" r="Y22"/>
      <c s="8" r="Z22"/>
      <c s="8" r="AA22"/>
    </row>
    <row r="23">
      <c t="s" s="7" r="A23">
        <v>80</v>
      </c>
      <c t="s" s="7" r="B23">
        <v>81</v>
      </c>
      <c t="s" s="7" r="C23">
        <v>82</v>
      </c>
      <c s="8" r="D23"/>
      <c s="8" r="E23"/>
      <c s="8" r="F23"/>
      <c s="8" r="G23"/>
      <c s="8" r="H23"/>
      <c s="8" r="I23"/>
      <c s="8" r="J23"/>
      <c s="8" r="K23"/>
      <c s="8" r="L23"/>
      <c s="8" r="M23"/>
      <c s="8" r="N23"/>
      <c s="8" r="O23"/>
      <c s="8" r="P23"/>
      <c s="8" r="Q23"/>
      <c s="8" r="R23"/>
      <c s="8" r="S23"/>
      <c s="8" r="T23"/>
      <c s="8" r="U23"/>
      <c s="8" r="V23"/>
      <c s="8" r="W23"/>
      <c s="8" r="X23"/>
      <c s="8" r="Y23"/>
      <c s="8" r="Z23"/>
      <c s="8" r="AA23"/>
    </row>
    <row r="24">
      <c t="s" s="7" r="A24">
        <v>83</v>
      </c>
      <c t="s" s="7" r="B24">
        <v>84</v>
      </c>
      <c t="s" s="7" r="C24">
        <v>85</v>
      </c>
      <c s="8" r="D24"/>
      <c s="8" r="E24"/>
      <c s="8" r="F24"/>
      <c s="8" r="G24"/>
      <c s="8" r="H24"/>
      <c s="8" r="I24"/>
      <c s="8" r="J24"/>
      <c s="8" r="K24"/>
      <c s="8" r="L24"/>
      <c s="8" r="M24"/>
      <c s="8" r="N24"/>
      <c s="8" r="O24"/>
      <c s="8" r="P24"/>
      <c s="8" r="Q24"/>
      <c s="8" r="R24"/>
      <c s="8" r="S24"/>
      <c s="8" r="T24"/>
      <c s="8" r="U24"/>
      <c s="8" r="V24"/>
      <c s="8" r="W24"/>
      <c s="8" r="X24"/>
      <c s="8" r="Y24"/>
      <c s="8" r="Z24"/>
      <c s="8" r="AA24"/>
    </row>
    <row r="25">
      <c t="s" s="7" r="A25">
        <v>86</v>
      </c>
      <c t="s" s="7" r="B25">
        <v>87</v>
      </c>
      <c t="s" s="7" r="C25">
        <v>88</v>
      </c>
      <c s="8" r="D25"/>
      <c s="8" r="E25"/>
      <c s="8" r="F25"/>
      <c s="8" r="G25"/>
      <c s="8" r="H25"/>
      <c s="8" r="I25"/>
      <c s="8" r="J25"/>
      <c s="8" r="K25"/>
      <c s="8" r="L25"/>
      <c s="8" r="M25"/>
      <c s="8" r="N25"/>
      <c s="8" r="O25"/>
      <c s="8" r="P25"/>
      <c s="8" r="Q25"/>
      <c s="8" r="R25"/>
      <c s="8" r="S25"/>
      <c s="8" r="T25"/>
      <c s="8" r="U25"/>
      <c s="8" r="V25"/>
      <c s="8" r="W25"/>
      <c s="8" r="X25"/>
      <c s="8" r="Y25"/>
      <c s="8" r="Z25"/>
      <c s="8" r="AA25"/>
    </row>
    <row r="26">
      <c t="s" s="7" r="A26">
        <v>89</v>
      </c>
      <c t="s" s="7" r="B26">
        <v>90</v>
      </c>
      <c t="s" s="7" r="C26">
        <v>91</v>
      </c>
      <c s="8" r="D26"/>
      <c s="8" r="E26"/>
      <c s="8" r="F26"/>
      <c s="8" r="G26"/>
      <c s="8" r="H26"/>
      <c s="8" r="I26"/>
      <c s="8" r="J26"/>
      <c s="8" r="K26"/>
      <c s="8" r="L26"/>
      <c s="8" r="M26"/>
      <c s="8" r="N26"/>
      <c s="8" r="O26"/>
      <c s="8" r="P26"/>
      <c s="8" r="Q26"/>
      <c s="8" r="R26"/>
      <c s="8" r="S26"/>
      <c s="8" r="T26"/>
      <c s="8" r="U26"/>
      <c s="8" r="V26"/>
      <c s="8" r="W26"/>
      <c s="8" r="X26"/>
      <c s="8" r="Y26"/>
      <c s="8" r="Z26"/>
      <c s="8" r="AA26"/>
    </row>
    <row r="27">
      <c t="s" s="7" r="A27">
        <v>92</v>
      </c>
      <c t="s" s="7" r="B27">
        <v>93</v>
      </c>
      <c t="s" s="7" r="C27">
        <v>94</v>
      </c>
      <c s="8" r="D27"/>
      <c s="8" r="E27"/>
      <c s="8" r="F27"/>
      <c s="8" r="G27"/>
      <c s="8" r="H27"/>
      <c s="8" r="I27"/>
      <c s="8" r="J27"/>
      <c s="8" r="K27"/>
      <c s="8" r="L27"/>
      <c s="8" r="M27"/>
      <c s="8" r="N27"/>
      <c s="8" r="O27"/>
      <c s="8" r="P27"/>
      <c s="8" r="Q27"/>
      <c s="8" r="R27"/>
      <c s="8" r="S27"/>
      <c s="8" r="T27"/>
      <c s="8" r="U27"/>
      <c s="8" r="V27"/>
      <c s="8" r="W27"/>
      <c s="8" r="X27"/>
      <c s="8" r="Y27"/>
      <c s="8" r="Z27"/>
      <c s="8" r="AA27"/>
    </row>
    <row r="28">
      <c t="s" s="7" r="A28">
        <v>95</v>
      </c>
      <c t="s" s="7" r="B28">
        <v>96</v>
      </c>
      <c t="s" s="7" r="C28">
        <v>97</v>
      </c>
      <c s="8" r="D28"/>
      <c s="8" r="E28"/>
      <c s="8" r="F28"/>
      <c s="8" r="G28"/>
      <c s="8" r="H28"/>
      <c s="8" r="I28"/>
      <c s="8" r="J28"/>
      <c s="8" r="K28"/>
      <c s="8" r="L28"/>
      <c s="8" r="M28"/>
      <c s="8" r="N28"/>
      <c s="8" r="O28"/>
      <c s="8" r="P28"/>
      <c s="8" r="Q28"/>
      <c s="8" r="R28"/>
      <c s="8" r="S28"/>
      <c s="8" r="T28"/>
      <c s="8" r="U28"/>
      <c s="8" r="V28"/>
      <c s="8" r="W28"/>
      <c s="8" r="X28"/>
      <c s="8" r="Y28"/>
      <c s="8" r="Z28"/>
      <c s="8" r="AA28"/>
    </row>
    <row r="29">
      <c t="s" s="7" r="A29">
        <v>98</v>
      </c>
      <c t="s" s="7" r="B29">
        <v>99</v>
      </c>
      <c t="s" s="7" r="C29">
        <v>100</v>
      </c>
      <c s="8" r="D29"/>
      <c s="8" r="E29"/>
      <c s="8" r="F29"/>
      <c s="8" r="G29"/>
      <c s="8" r="H29"/>
      <c s="8" r="I29"/>
      <c s="8" r="J29"/>
      <c s="8" r="K29"/>
      <c s="8" r="L29"/>
      <c s="8" r="M29"/>
      <c s="8" r="N29"/>
      <c s="8" r="O29"/>
      <c s="8" r="P29"/>
      <c s="8" r="Q29"/>
      <c s="8" r="R29"/>
      <c s="8" r="S29"/>
      <c s="8" r="T29"/>
      <c s="8" r="U29"/>
      <c s="8" r="V29"/>
      <c s="8" r="W29"/>
      <c s="8" r="X29"/>
      <c s="8" r="Y29"/>
      <c s="8" r="Z29"/>
      <c s="8" r="AA29"/>
    </row>
    <row r="30">
      <c t="s" s="7" r="A30">
        <v>101</v>
      </c>
      <c t="s" s="7" r="B30">
        <v>102</v>
      </c>
      <c t="s" s="7" r="C30">
        <v>103</v>
      </c>
      <c s="8" r="D30"/>
      <c s="8" r="E30"/>
      <c s="8" r="F30"/>
      <c s="8" r="G30"/>
      <c s="8" r="H30"/>
      <c s="8" r="I30"/>
      <c s="8" r="J30"/>
      <c s="8" r="K30"/>
      <c s="8" r="L30"/>
      <c s="8" r="M30"/>
      <c s="8" r="N30"/>
      <c s="8" r="O30"/>
      <c s="8" r="P30"/>
      <c s="8" r="Q30"/>
      <c s="8" r="R30"/>
      <c s="8" r="S30"/>
      <c s="8" r="T30"/>
      <c s="8" r="U30"/>
      <c s="8" r="V30"/>
      <c s="8" r="W30"/>
      <c s="8" r="X30"/>
      <c s="8" r="Y30"/>
      <c s="8" r="Z30"/>
      <c s="8" r="AA30"/>
    </row>
    <row r="31">
      <c t="s" s="7" r="A31">
        <v>104</v>
      </c>
      <c t="s" s="7" r="B31">
        <v>105</v>
      </c>
      <c t="s" s="7" r="C31">
        <v>106</v>
      </c>
      <c s="8" r="D31"/>
      <c s="8" r="E31"/>
      <c s="8" r="F31"/>
      <c s="8" r="G31"/>
      <c s="8" r="H31"/>
      <c s="8" r="I31"/>
      <c s="8" r="J31"/>
      <c s="8" r="K31"/>
      <c s="8" r="L31"/>
      <c s="8" r="M31"/>
      <c s="8" r="N31"/>
      <c s="8" r="O31"/>
      <c s="8" r="P31"/>
      <c s="8" r="Q31"/>
      <c s="8" r="R31"/>
      <c s="8" r="S31"/>
      <c s="8" r="T31"/>
      <c s="8" r="U31"/>
      <c s="8" r="V31"/>
      <c s="8" r="W31"/>
      <c s="8" r="X31"/>
      <c s="8" r="Y31"/>
      <c s="8" r="Z31"/>
      <c s="8" r="AA31"/>
    </row>
    <row r="32">
      <c t="s" s="7" r="A32">
        <v>107</v>
      </c>
      <c t="s" s="7" r="B32">
        <v>108</v>
      </c>
      <c t="s" s="7" r="C32">
        <v>109</v>
      </c>
      <c t="s" s="7" r="D32">
        <v>110</v>
      </c>
      <c t="str" s="9" r="E32">
        <f>HYPERLINK("https://twitter.com/Schwyter89","Schwyter89")</f>
        <v>Schwyter89</v>
      </c>
      <c t="str" s="9" r="F32">
        <f>HYPERLINK("http://instagram.com/beefpanther723","beefpanther723")</f>
        <v>beefpanther723</v>
      </c>
      <c s="8" r="G32"/>
      <c s="8" r="H32"/>
      <c s="8" r="I32"/>
      <c s="8" r="J32"/>
      <c s="8" r="K32"/>
      <c s="8" r="L32"/>
      <c s="8" r="M32"/>
      <c s="8" r="N32"/>
      <c s="8" r="O32"/>
      <c s="8" r="P32"/>
      <c s="8" r="Q32"/>
      <c s="8" r="R32"/>
      <c s="8" r="S32"/>
      <c s="8" r="T32"/>
      <c s="8" r="U32"/>
      <c s="8" r="V32"/>
      <c s="8" r="W32"/>
      <c s="8" r="X32"/>
      <c s="8" r="Y32"/>
      <c s="8" r="Z32"/>
      <c s="8" r="AA32"/>
    </row>
    <row r="33">
      <c t="s" s="7" r="A33">
        <v>111</v>
      </c>
      <c t="s" s="7" r="B33">
        <v>112</v>
      </c>
      <c t="s" s="7" r="C33">
        <v>113</v>
      </c>
      <c s="8" r="D33"/>
      <c s="8" r="E33"/>
      <c s="8" r="F33"/>
      <c s="8" r="G33"/>
      <c s="8" r="H33"/>
      <c s="8" r="I33"/>
      <c s="8" r="J33"/>
      <c s="8" r="K33"/>
      <c s="8" r="L33"/>
      <c s="8" r="M33"/>
      <c s="8" r="N33"/>
      <c s="8" r="O33"/>
      <c s="8" r="P33"/>
      <c s="8" r="Q33"/>
      <c s="8" r="R33"/>
      <c s="8" r="S33"/>
      <c s="8" r="T33"/>
      <c s="8" r="U33"/>
      <c s="8" r="V33"/>
      <c s="8" r="W33"/>
      <c s="8" r="X33"/>
      <c s="8" r="Y33"/>
      <c s="8" r="Z33"/>
      <c s="8" r="AA33"/>
    </row>
    <row r="34">
      <c t="s" s="7" r="A34">
        <v>114</v>
      </c>
      <c t="s" s="7" r="B34">
        <v>115</v>
      </c>
      <c t="s" s="7" r="C34">
        <v>116</v>
      </c>
      <c s="8" r="D34"/>
      <c s="8" r="E34"/>
      <c s="8" r="F34"/>
      <c s="8" r="G34"/>
      <c s="8" r="H34"/>
      <c s="8" r="I34"/>
      <c s="8" r="J34"/>
      <c s="8" r="K34"/>
      <c s="8" r="L34"/>
      <c s="8" r="M34"/>
      <c s="8" r="N34"/>
      <c s="8" r="O34"/>
      <c s="8" r="P34"/>
      <c s="8" r="Q34"/>
      <c s="8" r="R34"/>
      <c s="8" r="S34"/>
      <c s="8" r="T34"/>
      <c s="8" r="U34"/>
      <c s="8" r="V34"/>
      <c s="8" r="W34"/>
      <c s="8" r="X34"/>
      <c s="8" r="Y34"/>
      <c s="8" r="Z34"/>
      <c s="8" r="AA34"/>
    </row>
    <row r="35">
      <c t="s" s="7" r="A35">
        <v>117</v>
      </c>
      <c t="s" s="7" r="B35">
        <v>118</v>
      </c>
      <c t="s" s="7" r="C35">
        <v>119</v>
      </c>
      <c s="8" r="D35"/>
      <c s="8" r="E35"/>
      <c s="8" r="F35"/>
      <c s="8" r="G35"/>
      <c s="8" r="H35"/>
      <c s="8" r="I35"/>
      <c s="8" r="J35"/>
      <c s="8" r="K35"/>
      <c s="8" r="L35"/>
      <c s="8" r="M35"/>
      <c s="8" r="N35"/>
      <c s="8" r="O35"/>
      <c s="8" r="P35"/>
      <c s="8" r="Q35"/>
      <c s="8" r="R35"/>
      <c s="8" r="S35"/>
      <c s="8" r="T35"/>
      <c s="8" r="U35"/>
      <c s="8" r="V35"/>
      <c s="8" r="W35"/>
      <c s="8" r="X35"/>
      <c s="8" r="Y35"/>
      <c s="8" r="Z35"/>
      <c s="8" r="AA35"/>
    </row>
    <row r="36">
      <c t="s" s="7" r="A36">
        <v>120</v>
      </c>
      <c t="s" s="7" r="B36">
        <v>121</v>
      </c>
      <c t="s" s="7" r="C36">
        <v>122</v>
      </c>
      <c s="8" r="D36"/>
      <c s="8" r="E36"/>
      <c s="8" r="F36"/>
      <c s="8" r="G36"/>
      <c s="8" r="H36"/>
      <c s="8" r="I36"/>
      <c s="8" r="J36"/>
      <c s="8" r="K36"/>
      <c s="8" r="L36"/>
      <c s="8" r="M36"/>
      <c s="8" r="N36"/>
      <c s="8" r="O36"/>
      <c s="8" r="P36"/>
      <c s="8" r="Q36"/>
      <c s="8" r="R36"/>
      <c s="8" r="S36"/>
      <c s="8" r="T36"/>
      <c s="8" r="U36"/>
      <c s="8" r="V36"/>
      <c s="8" r="W36"/>
      <c s="8" r="X36"/>
      <c s="8" r="Y36"/>
      <c s="8" r="Z36"/>
      <c s="8" r="AA36"/>
    </row>
    <row r="37">
      <c t="s" s="7" r="A37">
        <v>123</v>
      </c>
      <c t="s" s="7" r="B37">
        <v>124</v>
      </c>
      <c t="s" s="7" r="C37">
        <v>125</v>
      </c>
      <c s="8" r="D37"/>
      <c s="8" r="E37"/>
      <c s="8" r="F37"/>
      <c s="8" r="G37"/>
      <c s="8" r="H37"/>
      <c s="8" r="I37"/>
      <c s="8" r="J37"/>
      <c s="8" r="K37"/>
      <c s="8" r="L37"/>
      <c s="8" r="M37"/>
      <c s="8" r="N37"/>
      <c s="8" r="O37"/>
      <c s="8" r="P37"/>
      <c s="8" r="Q37"/>
      <c s="8" r="R37"/>
      <c s="8" r="S37"/>
      <c s="8" r="T37"/>
      <c s="8" r="U37"/>
      <c s="8" r="V37"/>
      <c s="8" r="W37"/>
      <c s="8" r="X37"/>
      <c s="8" r="Y37"/>
      <c s="8" r="Z37"/>
      <c s="8" r="AA37"/>
    </row>
    <row r="38">
      <c t="s" s="7" r="A38">
        <v>126</v>
      </c>
      <c t="s" s="7" r="B38">
        <v>127</v>
      </c>
      <c t="s" s="7" r="C38">
        <v>128</v>
      </c>
      <c t="s" s="7" r="D38">
        <v>129</v>
      </c>
      <c t="str" s="9" r="E38">
        <f>HYPERLINK("https://twitter.com/bitPimps","@bitPimps")</f>
        <v>@bitPimps</v>
      </c>
      <c t="str" s="9" r="F38">
        <f>HYPERLINK("http://instagram.com/bitpimps","@bitPimps")</f>
        <v>@bitPimps</v>
      </c>
      <c s="8" r="G38"/>
      <c t="s" s="7" r="H38">
        <v>130</v>
      </c>
      <c s="8" r="I38"/>
      <c s="8" r="J38"/>
      <c s="8" r="K38"/>
      <c s="8" r="L38"/>
      <c s="8" r="M38"/>
      <c s="8" r="N38"/>
      <c s="8" r="O38"/>
      <c s="8" r="P38"/>
      <c s="8" r="Q38"/>
      <c s="8" r="R38"/>
      <c s="8" r="S38"/>
      <c s="8" r="T38"/>
      <c s="8" r="U38"/>
      <c s="8" r="V38"/>
      <c s="8" r="W38"/>
      <c s="8" r="X38"/>
      <c s="8" r="Y38"/>
      <c s="8" r="Z38"/>
      <c s="8" r="AA38"/>
    </row>
    <row r="39">
      <c t="s" s="7" r="A39">
        <v>131</v>
      </c>
      <c t="s" s="7" r="B39">
        <v>132</v>
      </c>
      <c t="s" s="7" r="C39">
        <v>133</v>
      </c>
      <c s="8" r="D39"/>
      <c s="8" r="E39"/>
      <c s="8" r="F39"/>
      <c s="8" r="G39"/>
      <c s="8" r="H39"/>
      <c s="8" r="I39"/>
      <c s="8" r="J39"/>
      <c s="8" r="K39"/>
      <c s="8" r="L39"/>
      <c s="8" r="M39"/>
      <c s="8" r="N39"/>
      <c s="8" r="O39"/>
      <c s="8" r="P39"/>
      <c s="8" r="Q39"/>
      <c s="8" r="R39"/>
      <c s="8" r="S39"/>
      <c s="8" r="T39"/>
      <c s="8" r="U39"/>
      <c s="8" r="V39"/>
      <c s="8" r="W39"/>
      <c s="8" r="X39"/>
      <c s="8" r="Y39"/>
      <c s="8" r="Z39"/>
      <c s="8" r="AA39"/>
    </row>
    <row r="40">
      <c t="s" s="7" r="A40">
        <v>134</v>
      </c>
      <c t="s" s="7" r="B40">
        <v>135</v>
      </c>
      <c t="s" s="7" r="C40">
        <v>136</v>
      </c>
      <c t="s" s="7" r="D40">
        <v>137</v>
      </c>
      <c t="str" s="9" r="E40">
        <f>HYPERLINK("https://twitter.com/cogdeth","@cogdeth")</f>
        <v>@cogdeth</v>
      </c>
      <c t="str" s="9" r="F40">
        <f>HYPERLINK("http://instagram.com/cogdeth","@cogdeth")</f>
        <v>@cogdeth</v>
      </c>
      <c t="s" s="7" r="G40">
        <v>138</v>
      </c>
      <c t="s" s="7" r="H40">
        <v>139</v>
      </c>
      <c s="8" r="I40"/>
      <c s="8" r="J40"/>
      <c s="8" r="K40"/>
      <c s="8" r="L40"/>
      <c s="8" r="M40"/>
      <c s="8" r="N40"/>
      <c s="8" r="O40"/>
      <c s="8" r="P40"/>
      <c s="8" r="Q40"/>
      <c s="8" r="R40"/>
      <c s="8" r="S40"/>
      <c s="8" r="T40"/>
      <c s="8" r="U40"/>
      <c s="8" r="V40"/>
      <c s="8" r="W40"/>
      <c s="8" r="X40"/>
      <c s="8" r="Y40"/>
      <c s="8" r="Z40"/>
      <c s="8" r="AA40"/>
    </row>
    <row r="41">
      <c t="s" s="7" r="A41">
        <v>140</v>
      </c>
      <c t="s" s="7" r="B41">
        <v>141</v>
      </c>
      <c t="s" s="7" r="C41">
        <v>142</v>
      </c>
      <c t="s" s="7" r="D41">
        <v>143</v>
      </c>
      <c t="str" s="9" r="E41">
        <f>HYPERLINK("https://twitter.com/testyboy","@Testyboy")</f>
        <v>@Testyboy</v>
      </c>
      <c t="str" s="9" r="F41">
        <f>HYPERLINK("http://instagram.com/Testyboy","@Testyboy")</f>
        <v>@Testyboy</v>
      </c>
      <c s="8" r="G41"/>
      <c t="s" s="7" r="H41">
        <v>144</v>
      </c>
      <c s="8" r="I41"/>
      <c s="8" r="J41"/>
      <c s="8" r="K41"/>
      <c s="8" r="L41"/>
      <c s="8" r="M41"/>
      <c s="8" r="N41"/>
      <c s="8" r="O41"/>
      <c s="8" r="P41"/>
      <c s="8" r="Q41"/>
      <c s="8" r="R41"/>
      <c s="8" r="S41"/>
      <c s="8" r="T41"/>
      <c s="8" r="U41"/>
      <c s="8" r="V41"/>
      <c s="8" r="W41"/>
      <c s="8" r="X41"/>
      <c s="8" r="Y41"/>
      <c s="8" r="Z41"/>
      <c s="8" r="AA41"/>
    </row>
    <row r="42">
      <c t="s" s="7" r="A42">
        <v>145</v>
      </c>
      <c t="s" s="7" r="B42">
        <v>146</v>
      </c>
      <c t="s" s="7" r="C42">
        <v>147</v>
      </c>
      <c t="s" s="7" r="D42">
        <v>148</v>
      </c>
      <c t="str" s="9" r="E42">
        <f>HYPERLINK("https://twitter.com/rrrredragons","@rrrredragons")</f>
        <v>@rrrredragons</v>
      </c>
      <c s="8" r="F42"/>
      <c s="7" r="G42"/>
      <c s="8" r="H42"/>
      <c s="8" r="I42"/>
      <c s="8" r="J42"/>
      <c s="8" r="K42"/>
      <c s="8" r="L42"/>
      <c s="8" r="M42"/>
      <c s="8" r="N42"/>
      <c s="8" r="O42"/>
      <c s="8" r="P42"/>
      <c s="8" r="Q42"/>
      <c s="8" r="R42"/>
      <c s="8" r="S42"/>
      <c s="8" r="T42"/>
      <c s="8" r="U42"/>
      <c s="8" r="V42"/>
      <c s="8" r="W42"/>
      <c s="8" r="X42"/>
      <c s="8" r="Y42"/>
      <c s="8" r="Z42"/>
      <c s="8" r="AA42"/>
    </row>
    <row r="43">
      <c t="s" s="11" r="A43">
        <v>149</v>
      </c>
      <c t="s" s="11" r="B43">
        <v>150</v>
      </c>
      <c t="s" s="11" r="C43">
        <v>151</v>
      </c>
      <c s="12" r="D43"/>
      <c s="12" r="E43"/>
      <c s="12" r="F43"/>
      <c s="12" r="G43"/>
      <c s="12" r="H43"/>
      <c s="12" r="I43"/>
      <c s="12" r="J43"/>
      <c s="12" r="K43"/>
      <c s="12" r="L43"/>
      <c s="12" r="M43"/>
      <c s="12" r="N43"/>
      <c s="12" r="O43"/>
      <c s="12" r="P43"/>
      <c s="12" r="Q43"/>
      <c s="12" r="R43"/>
      <c s="12" r="S43"/>
      <c s="12" r="T43"/>
      <c s="12" r="U43"/>
      <c s="12" r="V43"/>
      <c s="12" r="W43"/>
      <c s="12" r="X43"/>
      <c s="12" r="Y43"/>
      <c s="12" r="Z43"/>
      <c s="12" r="AA43"/>
    </row>
    <row r="44">
      <c t="s" s="7" r="A44">
        <v>152</v>
      </c>
      <c t="s" s="7" r="B44">
        <v>153</v>
      </c>
      <c t="s" s="7" r="C44">
        <v>154</v>
      </c>
      <c s="8" r="D44"/>
      <c s="8" r="E44"/>
      <c s="8" r="F44"/>
      <c s="8" r="G44"/>
      <c s="8" r="H44"/>
      <c s="8" r="I44"/>
      <c s="8" r="J44"/>
      <c s="8" r="K44"/>
      <c s="8" r="L44"/>
      <c s="8" r="M44"/>
      <c s="8" r="N44"/>
      <c s="8" r="O44"/>
      <c s="8" r="P44"/>
      <c s="8" r="Q44"/>
      <c s="8" r="R44"/>
      <c s="8" r="S44"/>
      <c s="8" r="T44"/>
      <c s="8" r="U44"/>
      <c s="8" r="V44"/>
      <c s="8" r="W44"/>
      <c s="8" r="X44"/>
      <c s="8" r="Y44"/>
      <c s="8" r="Z44"/>
      <c s="8" r="AA44"/>
    </row>
    <row r="45">
      <c t="s" s="7" r="A45">
        <v>155</v>
      </c>
      <c t="s" s="7" r="B45">
        <v>156</v>
      </c>
      <c t="s" s="7" r="C45">
        <v>157</v>
      </c>
      <c s="8" r="D45"/>
      <c s="8" r="E45"/>
      <c s="8" r="F45"/>
      <c s="8" r="G45"/>
      <c s="8" r="H45"/>
      <c s="8" r="I45"/>
      <c s="8" r="J45"/>
      <c s="8" r="K45"/>
      <c s="8" r="L45"/>
      <c s="8" r="M45"/>
      <c s="8" r="N45"/>
      <c s="8" r="O45"/>
      <c s="8" r="P45"/>
      <c s="8" r="Q45"/>
      <c s="8" r="R45"/>
      <c s="8" r="S45"/>
      <c s="8" r="T45"/>
      <c s="8" r="U45"/>
      <c s="8" r="V45"/>
      <c s="8" r="W45"/>
      <c s="8" r="X45"/>
      <c s="8" r="Y45"/>
      <c s="8" r="Z45"/>
      <c s="8" r="AA45"/>
    </row>
    <row r="46">
      <c t="s" s="7" r="A46">
        <v>158</v>
      </c>
      <c t="s" s="7" r="B46">
        <v>159</v>
      </c>
      <c t="s" s="7" r="C46">
        <v>160</v>
      </c>
      <c s="8" r="D46"/>
      <c s="8" r="E46"/>
      <c s="8" r="F46"/>
      <c s="8" r="G46"/>
      <c s="8" r="H46"/>
      <c s="8" r="I46"/>
      <c s="8" r="J46"/>
      <c s="8" r="K46"/>
      <c s="8" r="L46"/>
      <c s="8" r="M46"/>
      <c s="8" r="N46"/>
      <c s="8" r="O46"/>
      <c s="8" r="P46"/>
      <c s="8" r="Q46"/>
      <c s="8" r="R46"/>
      <c s="8" r="S46"/>
      <c s="8" r="T46"/>
      <c s="8" r="U46"/>
      <c s="8" r="V46"/>
      <c s="8" r="W46"/>
      <c s="8" r="X46"/>
      <c s="8" r="Y46"/>
      <c s="8" r="Z46"/>
      <c s="8" r="AA46"/>
    </row>
    <row r="47">
      <c t="s" s="7" r="A47">
        <v>161</v>
      </c>
      <c t="s" s="7" r="B47">
        <v>162</v>
      </c>
      <c t="s" s="7" r="C47">
        <v>163</v>
      </c>
      <c s="8" r="D47"/>
      <c s="8" r="E47"/>
      <c s="8" r="F47"/>
      <c s="8" r="G47"/>
      <c s="8" r="H47"/>
      <c s="8" r="I47"/>
      <c s="8" r="J47"/>
      <c s="8" r="K47"/>
      <c s="8" r="L47"/>
      <c s="8" r="M47"/>
      <c s="8" r="N47"/>
      <c s="8" r="O47"/>
      <c s="8" r="P47"/>
      <c s="8" r="Q47"/>
      <c s="8" r="R47"/>
      <c s="8" r="S47"/>
      <c s="8" r="T47"/>
      <c s="8" r="U47"/>
      <c s="8" r="V47"/>
      <c s="8" r="W47"/>
      <c s="8" r="X47"/>
      <c s="8" r="Y47"/>
      <c s="8" r="Z47"/>
      <c s="8" r="AA47"/>
    </row>
    <row r="48">
      <c t="s" s="7" r="A48">
        <v>164</v>
      </c>
      <c t="s" s="7" r="B48">
        <v>165</v>
      </c>
      <c t="s" s="7" r="C48">
        <v>166</v>
      </c>
      <c s="8" r="D48"/>
      <c s="8" r="E48"/>
      <c s="8" r="F48"/>
      <c s="8" r="G48"/>
      <c s="8" r="H48"/>
      <c s="8" r="I48"/>
      <c s="8" r="J48"/>
      <c s="8" r="K48"/>
      <c s="8" r="L48"/>
      <c s="8" r="M48"/>
      <c s="8" r="N48"/>
      <c s="8" r="O48"/>
      <c s="8" r="P48"/>
      <c s="8" r="Q48"/>
      <c s="8" r="R48"/>
      <c s="8" r="S48"/>
      <c s="8" r="T48"/>
      <c s="8" r="U48"/>
      <c s="8" r="V48"/>
      <c s="8" r="W48"/>
      <c s="8" r="X48"/>
      <c s="8" r="Y48"/>
      <c s="8" r="Z48"/>
      <c s="8" r="AA48"/>
    </row>
    <row r="49">
      <c t="s" s="7" r="A49">
        <v>167</v>
      </c>
      <c t="s" s="7" r="B49">
        <v>168</v>
      </c>
      <c t="s" s="7" r="C49">
        <v>169</v>
      </c>
      <c s="8" r="D49"/>
      <c s="8" r="E49"/>
      <c s="8" r="F49"/>
      <c s="8" r="G49"/>
      <c s="8" r="H49"/>
      <c s="8" r="I49"/>
      <c s="8" r="J49"/>
      <c s="8" r="K49"/>
      <c s="8" r="L49"/>
      <c s="8" r="M49"/>
      <c s="8" r="N49"/>
      <c s="8" r="O49"/>
      <c s="8" r="P49"/>
      <c s="8" r="Q49"/>
      <c s="8" r="R49"/>
      <c s="8" r="S49"/>
      <c s="8" r="T49"/>
      <c s="8" r="U49"/>
      <c s="8" r="V49"/>
      <c s="8" r="W49"/>
      <c s="8" r="X49"/>
      <c s="8" r="Y49"/>
      <c s="8" r="Z49"/>
      <c s="8" r="AA49"/>
    </row>
    <row r="50">
      <c t="s" s="7" r="A50">
        <v>170</v>
      </c>
      <c t="s" s="7" r="B50">
        <v>171</v>
      </c>
      <c t="s" s="7" r="C50">
        <v>172</v>
      </c>
      <c t="s" s="7" r="D50">
        <v>173</v>
      </c>
      <c t="str" s="9" r="E50">
        <f>HYPERLINK("https://twitter.com/Bonk_RDS","@Bonk_RDS")</f>
        <v>@Bonk_RDS</v>
      </c>
      <c t="str" s="9" r="F50">
        <f>HYPERLINK("http://instagram.com/bonk_rds","@Bonk_RDS")</f>
        <v>@Bonk_RDS</v>
      </c>
      <c t="s" s="7" r="G50">
        <v>174</v>
      </c>
      <c t="s" s="7" r="H50">
        <v>175</v>
      </c>
      <c s="8" r="I50"/>
      <c s="8" r="J50"/>
      <c s="8" r="K50"/>
      <c s="8" r="L50"/>
      <c s="8" r="M50"/>
      <c s="8" r="N50"/>
      <c s="8" r="O50"/>
      <c s="8" r="P50"/>
      <c s="8" r="Q50"/>
      <c s="8" r="R50"/>
      <c s="8" r="S50"/>
      <c s="8" r="T50"/>
      <c s="8" r="U50"/>
      <c s="8" r="V50"/>
      <c s="8" r="W50"/>
      <c s="8" r="X50"/>
      <c s="8" r="Y50"/>
      <c s="8" r="Z50"/>
      <c s="8" r="AA50"/>
    </row>
    <row r="51">
      <c t="s" s="7" r="A51">
        <v>176</v>
      </c>
      <c t="s" s="7" r="B51">
        <v>177</v>
      </c>
      <c t="s" s="7" r="C51">
        <v>178</v>
      </c>
      <c s="8" r="D51"/>
      <c s="8" r="E51"/>
      <c s="8" r="F51"/>
      <c s="8" r="G51"/>
      <c s="8" r="H51"/>
      <c s="8" r="I51"/>
      <c s="8" r="J51"/>
      <c s="8" r="K51"/>
      <c s="8" r="L51"/>
      <c s="8" r="M51"/>
      <c s="8" r="N51"/>
      <c s="8" r="O51"/>
      <c s="8" r="P51"/>
      <c s="8" r="Q51"/>
      <c s="8" r="R51"/>
      <c s="8" r="S51"/>
      <c s="8" r="T51"/>
      <c s="8" r="U51"/>
      <c s="8" r="V51"/>
      <c s="8" r="W51"/>
      <c s="8" r="X51"/>
      <c s="8" r="Y51"/>
      <c s="8" r="Z51"/>
      <c s="8" r="AA51"/>
    </row>
    <row r="52">
      <c t="s" s="7" r="A52">
        <v>179</v>
      </c>
      <c t="s" s="7" r="B52">
        <v>180</v>
      </c>
      <c t="s" s="7" r="C52">
        <v>181</v>
      </c>
      <c t="s" s="7" r="D52">
        <v>182</v>
      </c>
      <c t="str" s="9" r="E52">
        <f>HYPERLINK("https://twitter.com/BooozyTheClown","@BooozyTheClown")</f>
        <v>@BooozyTheClown</v>
      </c>
      <c t="str" s="9" r="F52">
        <f>HYPERLINK("http://instagram.com/BooozyTheClown","@BooozyTheClown")</f>
        <v>@BooozyTheClown</v>
      </c>
      <c t="s" s="7" r="G52">
        <v>183</v>
      </c>
      <c t="s" s="7" r="H52">
        <v>184</v>
      </c>
      <c s="8" r="I52"/>
      <c s="8" r="J52"/>
      <c s="8" r="K52"/>
      <c s="8" r="L52"/>
      <c s="8" r="M52"/>
      <c s="8" r="N52"/>
      <c s="8" r="O52"/>
      <c s="8" r="P52"/>
      <c s="8" r="Q52"/>
      <c s="8" r="R52"/>
      <c s="8" r="S52"/>
      <c s="8" r="T52"/>
      <c s="8" r="U52"/>
      <c s="8" r="V52"/>
      <c s="8" r="W52"/>
      <c s="8" r="X52"/>
      <c s="8" r="Y52"/>
      <c s="8" r="Z52"/>
      <c s="8" r="AA52"/>
    </row>
    <row r="53">
      <c t="s" s="7" r="A53">
        <v>185</v>
      </c>
      <c t="s" s="7" r="B53">
        <v>186</v>
      </c>
      <c t="s" s="7" r="C53">
        <v>187</v>
      </c>
      <c s="8" r="D53"/>
      <c s="8" r="E53"/>
      <c s="8" r="F53"/>
      <c s="8" r="G53"/>
      <c s="8" r="H53"/>
      <c s="8" r="I53"/>
      <c s="8" r="J53"/>
      <c s="8" r="K53"/>
      <c s="8" r="L53"/>
      <c s="8" r="M53"/>
      <c s="8" r="N53"/>
      <c s="8" r="O53"/>
      <c s="8" r="P53"/>
      <c s="8" r="Q53"/>
      <c s="8" r="R53"/>
      <c s="8" r="S53"/>
      <c s="8" r="T53"/>
      <c s="8" r="U53"/>
      <c s="8" r="V53"/>
      <c s="8" r="W53"/>
      <c s="8" r="X53"/>
      <c s="8" r="Y53"/>
      <c s="8" r="Z53"/>
      <c s="8" r="AA53"/>
    </row>
    <row r="54">
      <c t="s" s="7" r="A54">
        <v>188</v>
      </c>
      <c t="s" s="7" r="B54">
        <v>189</v>
      </c>
      <c t="s" s="7" r="C54">
        <v>190</v>
      </c>
      <c s="8" r="D54"/>
      <c s="8" r="E54"/>
      <c s="8" r="F54"/>
      <c s="8" r="G54"/>
      <c s="8" r="H54"/>
      <c s="8" r="I54"/>
      <c s="8" r="J54"/>
      <c s="8" r="K54"/>
      <c s="8" r="L54"/>
      <c s="8" r="M54"/>
      <c s="8" r="N54"/>
      <c s="8" r="O54"/>
      <c s="8" r="P54"/>
      <c s="8" r="Q54"/>
      <c s="8" r="R54"/>
      <c s="8" r="S54"/>
      <c s="8" r="T54"/>
      <c s="8" r="U54"/>
      <c s="8" r="V54"/>
      <c s="8" r="W54"/>
      <c s="8" r="X54"/>
      <c s="8" r="Y54"/>
      <c s="8" r="Z54"/>
      <c s="8" r="AA54"/>
    </row>
    <row r="55">
      <c t="s" s="7" r="A55">
        <v>191</v>
      </c>
      <c t="s" s="7" r="B55">
        <v>192</v>
      </c>
      <c t="s" s="7" r="C55">
        <v>193</v>
      </c>
      <c s="8" r="D55"/>
      <c s="8" r="E55"/>
      <c s="8" r="F55"/>
      <c s="8" r="G55"/>
      <c s="8" r="H55"/>
      <c s="8" r="I55"/>
      <c s="8" r="J55"/>
      <c s="8" r="K55"/>
      <c s="8" r="L55"/>
      <c s="8" r="M55"/>
      <c s="8" r="N55"/>
      <c s="8" r="O55"/>
      <c s="8" r="P55"/>
      <c s="8" r="Q55"/>
      <c s="8" r="R55"/>
      <c s="8" r="S55"/>
      <c s="8" r="T55"/>
      <c s="8" r="U55"/>
      <c s="8" r="V55"/>
      <c s="8" r="W55"/>
      <c s="8" r="X55"/>
      <c s="8" r="Y55"/>
      <c s="8" r="Z55"/>
      <c s="8" r="AA55"/>
    </row>
    <row r="56">
      <c t="s" s="7" r="A56">
        <v>194</v>
      </c>
      <c t="s" s="7" r="B56">
        <v>195</v>
      </c>
      <c t="s" s="7" r="C56">
        <v>196</v>
      </c>
      <c s="8" r="D56"/>
      <c s="8" r="E56"/>
      <c s="8" r="F56"/>
      <c s="8" r="G56"/>
      <c s="8" r="H56"/>
      <c s="8" r="I56"/>
      <c s="8" r="J56"/>
      <c s="8" r="K56"/>
      <c s="8" r="L56"/>
      <c s="8" r="M56"/>
      <c s="8" r="N56"/>
      <c s="8" r="O56"/>
      <c s="8" r="P56"/>
      <c s="8" r="Q56"/>
      <c s="8" r="R56"/>
      <c s="8" r="S56"/>
      <c s="8" r="T56"/>
      <c s="8" r="U56"/>
      <c s="8" r="V56"/>
      <c s="8" r="W56"/>
      <c s="8" r="X56"/>
      <c s="8" r="Y56"/>
      <c s="8" r="Z56"/>
      <c s="8" r="AA56"/>
    </row>
    <row r="57">
      <c t="s" s="7" r="A57">
        <v>197</v>
      </c>
      <c t="s" s="7" r="B57">
        <v>198</v>
      </c>
      <c t="s" s="7" r="C57">
        <v>199</v>
      </c>
      <c t="s" s="7" r="D57">
        <v>200</v>
      </c>
      <c t="str" s="9" r="E57">
        <f>HYPERLINK("https://twitter.com/blotocki","@blotocki")</f>
        <v>@blotocki</v>
      </c>
      <c t="str" s="9" r="F57">
        <f>HYPERLINK("http://instagram.com/blotocki","@blotocki")</f>
        <v>@blotocki</v>
      </c>
      <c t="s" s="7" r="G57">
        <v>201</v>
      </c>
      <c s="8" r="H57"/>
      <c s="8" r="I57"/>
      <c s="8" r="J57"/>
      <c s="8" r="K57"/>
      <c s="8" r="L57"/>
      <c s="8" r="M57"/>
      <c s="8" r="N57"/>
      <c s="8" r="O57"/>
      <c s="8" r="P57"/>
      <c s="8" r="Q57"/>
      <c s="8" r="R57"/>
      <c s="8" r="S57"/>
      <c s="8" r="T57"/>
      <c s="8" r="U57"/>
      <c s="8" r="V57"/>
      <c s="8" r="W57"/>
      <c s="8" r="X57"/>
      <c s="8" r="Y57"/>
      <c s="8" r="Z57"/>
      <c s="8" r="AA57"/>
    </row>
    <row r="58">
      <c t="s" s="7" r="A58">
        <v>202</v>
      </c>
      <c t="s" s="7" r="B58">
        <v>203</v>
      </c>
      <c t="s" s="7" r="C58">
        <v>204</v>
      </c>
      <c s="8" r="D58"/>
      <c s="8" r="E58"/>
      <c s="8" r="F58"/>
      <c s="8" r="G58"/>
      <c s="8" r="H58"/>
      <c s="8" r="I58"/>
      <c s="8" r="J58"/>
      <c s="8" r="K58"/>
      <c s="8" r="L58"/>
      <c s="8" r="M58"/>
      <c s="8" r="N58"/>
      <c s="8" r="O58"/>
      <c s="8" r="P58"/>
      <c s="8" r="Q58"/>
      <c s="8" r="R58"/>
      <c s="8" r="S58"/>
      <c s="8" r="T58"/>
      <c s="8" r="U58"/>
      <c s="8" r="V58"/>
      <c s="8" r="W58"/>
      <c s="8" r="X58"/>
      <c s="8" r="Y58"/>
      <c s="8" r="Z58"/>
      <c s="8" r="AA58"/>
    </row>
    <row r="59">
      <c t="s" s="7" r="A59">
        <v>205</v>
      </c>
      <c t="s" s="7" r="B59">
        <v>206</v>
      </c>
      <c t="s" s="7" r="C59">
        <v>207</v>
      </c>
      <c s="8" r="D59"/>
      <c s="8" r="E59"/>
      <c s="8" r="F59"/>
      <c s="8" r="G59"/>
      <c s="8" r="H59"/>
      <c s="8" r="I59"/>
      <c s="8" r="J59"/>
      <c s="8" r="K59"/>
      <c s="8" r="L59"/>
      <c s="8" r="M59"/>
      <c s="8" r="N59"/>
      <c s="8" r="O59"/>
      <c s="8" r="P59"/>
      <c s="8" r="Q59"/>
      <c s="8" r="R59"/>
      <c s="8" r="S59"/>
      <c s="8" r="T59"/>
      <c s="8" r="U59"/>
      <c s="8" r="V59"/>
      <c s="8" r="W59"/>
      <c s="8" r="X59"/>
      <c s="8" r="Y59"/>
      <c s="8" r="Z59"/>
      <c s="8" r="AA59"/>
    </row>
    <row r="60">
      <c t="s" s="7" r="A60">
        <v>208</v>
      </c>
      <c t="s" s="7" r="B60">
        <v>209</v>
      </c>
      <c t="s" s="7" r="C60">
        <v>210</v>
      </c>
      <c s="8" r="D60"/>
      <c s="8" r="E60"/>
      <c s="8" r="F60"/>
      <c s="8" r="G60"/>
      <c s="8" r="H60"/>
      <c s="8" r="I60"/>
      <c s="8" r="J60"/>
      <c s="8" r="K60"/>
      <c s="8" r="L60"/>
      <c s="8" r="M60"/>
      <c s="8" r="N60"/>
      <c s="8" r="O60"/>
      <c s="8" r="P60"/>
      <c s="8" r="Q60"/>
      <c s="8" r="R60"/>
      <c s="8" r="S60"/>
      <c s="8" r="T60"/>
      <c s="8" r="U60"/>
      <c s="8" r="V60"/>
      <c s="8" r="W60"/>
      <c s="8" r="X60"/>
      <c s="8" r="Y60"/>
      <c s="8" r="Z60"/>
      <c s="8" r="AA60"/>
    </row>
    <row r="61">
      <c t="s" s="7" r="A61">
        <v>211</v>
      </c>
      <c t="s" s="7" r="B61">
        <v>212</v>
      </c>
      <c t="s" s="7" r="C61">
        <v>213</v>
      </c>
      <c s="8" r="D61"/>
      <c s="8" r="E61"/>
      <c s="8" r="F61"/>
      <c s="8" r="G61"/>
      <c s="8" r="H61"/>
      <c s="8" r="I61"/>
      <c s="8" r="J61"/>
      <c s="8" r="K61"/>
      <c s="8" r="L61"/>
      <c s="8" r="M61"/>
      <c s="8" r="N61"/>
      <c s="8" r="O61"/>
      <c s="8" r="P61"/>
      <c s="8" r="Q61"/>
      <c s="8" r="R61"/>
      <c s="8" r="S61"/>
      <c s="8" r="T61"/>
      <c s="8" r="U61"/>
      <c s="8" r="V61"/>
      <c s="8" r="W61"/>
      <c s="8" r="X61"/>
      <c s="8" r="Y61"/>
      <c s="8" r="Z61"/>
      <c s="8" r="AA61"/>
    </row>
    <row r="62">
      <c t="s" s="7" r="A62">
        <v>214</v>
      </c>
      <c t="s" s="7" r="B62">
        <v>215</v>
      </c>
      <c t="s" s="7" r="C62">
        <v>216</v>
      </c>
      <c t="s" s="7" r="D62">
        <v>217</v>
      </c>
      <c t="str" s="9" r="E62">
        <f>HYPERLINK("https://twitter.com/Butterballs_EM6","@Butterballs_EM6")</f>
        <v>@Butterballs_EM6</v>
      </c>
      <c t="str" s="9" r="F62">
        <f>HYPERLINK("http://instagram.com/butterballs_em6","@Butterballs_EM6")</f>
        <v>@Butterballs_EM6</v>
      </c>
      <c t="s" s="7" r="G62">
        <v>218</v>
      </c>
      <c t="s" s="7" r="H62">
        <v>219</v>
      </c>
      <c s="8" r="I62"/>
      <c s="8" r="J62"/>
      <c s="8" r="K62"/>
      <c s="8" r="L62"/>
      <c s="8" r="M62"/>
      <c s="8" r="N62"/>
      <c s="8" r="O62"/>
      <c s="8" r="P62"/>
      <c s="8" r="Q62"/>
      <c s="8" r="R62"/>
      <c s="8" r="S62"/>
      <c s="8" r="T62"/>
      <c s="8" r="U62"/>
      <c s="8" r="V62"/>
      <c s="8" r="W62"/>
      <c s="8" r="X62"/>
      <c s="8" r="Y62"/>
      <c s="8" r="Z62"/>
      <c s="8" r="AA62"/>
    </row>
    <row r="63">
      <c t="s" s="7" r="A63">
        <v>220</v>
      </c>
      <c t="s" s="7" r="B63">
        <v>221</v>
      </c>
      <c t="s" s="7" r="C63">
        <v>222</v>
      </c>
      <c s="8" r="D63"/>
      <c s="8" r="E63"/>
      <c s="8" r="F63"/>
      <c s="8" r="G63"/>
      <c s="8" r="H63"/>
      <c s="8" r="I63"/>
      <c s="8" r="J63"/>
      <c s="8" r="K63"/>
      <c s="8" r="L63"/>
      <c s="8" r="M63"/>
      <c s="8" r="N63"/>
      <c s="8" r="O63"/>
      <c s="8" r="P63"/>
      <c s="8" r="Q63"/>
      <c s="8" r="R63"/>
      <c s="8" r="S63"/>
      <c s="8" r="T63"/>
      <c s="8" r="U63"/>
      <c s="8" r="V63"/>
      <c s="8" r="W63"/>
      <c s="8" r="X63"/>
      <c s="8" r="Y63"/>
      <c s="8" r="Z63"/>
      <c s="8" r="AA63"/>
    </row>
    <row r="64">
      <c t="s" s="7" r="A64">
        <v>223</v>
      </c>
      <c t="s" s="7" r="B64">
        <v>224</v>
      </c>
      <c t="s" s="7" r="C64">
        <v>225</v>
      </c>
      <c s="8" r="D64"/>
      <c s="8" r="E64"/>
      <c s="8" r="F64"/>
      <c s="8" r="G64"/>
      <c s="8" r="H64"/>
      <c s="8" r="I64"/>
      <c s="8" r="J64"/>
      <c s="8" r="K64"/>
      <c s="8" r="L64"/>
      <c s="8" r="M64"/>
      <c s="8" r="N64"/>
      <c s="8" r="O64"/>
      <c s="8" r="P64"/>
      <c s="8" r="Q64"/>
      <c s="8" r="R64"/>
      <c s="8" r="S64"/>
      <c s="8" r="T64"/>
      <c s="8" r="U64"/>
      <c s="8" r="V64"/>
      <c s="8" r="W64"/>
      <c s="8" r="X64"/>
      <c s="8" r="Y64"/>
      <c s="8" r="Z64"/>
      <c s="8" r="AA64"/>
    </row>
    <row r="65">
      <c t="s" s="7" r="A65">
        <v>226</v>
      </c>
      <c t="s" s="7" r="B65">
        <v>227</v>
      </c>
      <c t="s" s="7" r="C65">
        <v>228</v>
      </c>
      <c s="8" r="D65"/>
      <c s="8" r="E65"/>
      <c s="8" r="F65"/>
      <c s="8" r="G65"/>
      <c s="8" r="H65"/>
      <c s="8" r="I65"/>
      <c s="8" r="J65"/>
      <c s="8" r="K65"/>
      <c s="8" r="L65"/>
      <c s="8" r="M65"/>
      <c s="8" r="N65"/>
      <c s="8" r="O65"/>
      <c s="8" r="P65"/>
      <c s="8" r="Q65"/>
      <c s="8" r="R65"/>
      <c s="8" r="S65"/>
      <c s="8" r="T65"/>
      <c s="8" r="U65"/>
      <c s="8" r="V65"/>
      <c s="8" r="W65"/>
      <c s="8" r="X65"/>
      <c s="8" r="Y65"/>
      <c s="8" r="Z65"/>
      <c s="8" r="AA65"/>
    </row>
    <row r="66">
      <c t="s" s="7" r="A66">
        <v>229</v>
      </c>
      <c t="s" s="7" r="B66">
        <v>230</v>
      </c>
      <c t="s" s="7" r="C66">
        <v>231</v>
      </c>
      <c t="s" s="7" r="D66">
        <v>232</v>
      </c>
      <c s="8" r="E66"/>
      <c t="str" s="9" r="F66">
        <f>HYPERLINK("http://instagram.com/rdscowboy","@rdscowboy")</f>
        <v>@rdscowboy</v>
      </c>
      <c s="8" r="G66"/>
      <c s="8" r="H66"/>
      <c s="8" r="I66"/>
      <c s="8" r="J66"/>
      <c s="8" r="K66"/>
      <c s="8" r="L66"/>
      <c s="8" r="M66"/>
      <c s="8" r="N66"/>
      <c s="8" r="O66"/>
      <c s="8" r="P66"/>
      <c s="8" r="Q66"/>
      <c s="8" r="R66"/>
      <c s="8" r="S66"/>
      <c s="8" r="T66"/>
      <c s="8" r="U66"/>
      <c s="8" r="V66"/>
      <c s="8" r="W66"/>
      <c s="8" r="X66"/>
      <c s="8" r="Y66"/>
      <c s="8" r="Z66"/>
      <c s="8" r="AA66"/>
    </row>
    <row r="67">
      <c t="s" s="7" r="A67">
        <v>233</v>
      </c>
      <c t="s" s="7" r="B67">
        <v>234</v>
      </c>
      <c t="s" s="7" r="C67">
        <v>235</v>
      </c>
      <c s="8" r="D67"/>
      <c s="8" r="E67"/>
      <c s="8" r="F67"/>
      <c s="8" r="G67"/>
      <c s="8" r="H67"/>
      <c s="8" r="I67"/>
      <c s="8" r="J67"/>
      <c s="8" r="K67"/>
      <c s="8" r="L67"/>
      <c s="8" r="M67"/>
      <c s="8" r="N67"/>
      <c s="8" r="O67"/>
      <c s="8" r="P67"/>
      <c s="8" r="Q67"/>
      <c s="8" r="R67"/>
      <c s="8" r="S67"/>
      <c s="8" r="T67"/>
      <c s="8" r="U67"/>
      <c s="8" r="V67"/>
      <c s="8" r="W67"/>
      <c s="8" r="X67"/>
      <c s="8" r="Y67"/>
      <c s="8" r="Z67"/>
      <c s="8" r="AA67"/>
    </row>
    <row r="68">
      <c t="s" s="7" r="A68">
        <v>236</v>
      </c>
      <c t="s" s="7" r="B68">
        <v>237</v>
      </c>
      <c t="s" s="7" r="C68">
        <v>238</v>
      </c>
      <c s="8" r="D68"/>
      <c s="8" r="E68"/>
      <c s="8" r="F68"/>
      <c s="8" r="G68"/>
      <c s="8" r="H68"/>
      <c s="8" r="I68"/>
      <c s="8" r="J68"/>
      <c s="8" r="K68"/>
      <c s="8" r="L68"/>
      <c s="8" r="M68"/>
      <c s="8" r="N68"/>
      <c s="8" r="O68"/>
      <c s="8" r="P68"/>
      <c s="8" r="Q68"/>
      <c s="8" r="R68"/>
      <c s="8" r="S68"/>
      <c s="8" r="T68"/>
      <c s="8" r="U68"/>
      <c s="8" r="V68"/>
      <c s="8" r="W68"/>
      <c s="8" r="X68"/>
      <c s="8" r="Y68"/>
      <c s="8" r="Z68"/>
      <c s="8" r="AA68"/>
    </row>
    <row r="69">
      <c t="s" s="7" r="A69">
        <v>239</v>
      </c>
      <c t="s" s="7" r="B69">
        <v>240</v>
      </c>
      <c t="s" s="7" r="C69">
        <v>241</v>
      </c>
      <c s="8" r="D69"/>
      <c s="8" r="E69"/>
      <c s="8" r="F69"/>
      <c s="8" r="G69"/>
      <c s="8" r="H69"/>
      <c s="8" r="I69"/>
      <c s="8" r="J69"/>
      <c s="8" r="K69"/>
      <c s="8" r="L69"/>
      <c s="8" r="M69"/>
      <c s="8" r="N69"/>
      <c s="8" r="O69"/>
      <c s="8" r="P69"/>
      <c s="8" r="Q69"/>
      <c s="8" r="R69"/>
      <c s="8" r="S69"/>
      <c s="8" r="T69"/>
      <c s="8" r="U69"/>
      <c s="8" r="V69"/>
      <c s="8" r="W69"/>
      <c s="8" r="X69"/>
      <c s="8" r="Y69"/>
      <c s="8" r="Z69"/>
      <c s="8" r="AA69"/>
    </row>
    <row r="70">
      <c t="s" s="7" r="A70">
        <v>242</v>
      </c>
      <c t="s" s="7" r="B70">
        <v>243</v>
      </c>
      <c t="s" s="7" r="C70">
        <v>244</v>
      </c>
      <c t="s" s="7" r="D70">
        <v>245</v>
      </c>
      <c t="str" s="9" r="E70">
        <f>HYPERLINK("https://twitter.com/geraldpringle","@geraldpringle")</f>
        <v>@geraldpringle</v>
      </c>
      <c t="str" s="9" r="F70">
        <f>HYPERLINK("http://instagram.com/geraldpringle","@geraldpringle")</f>
        <v>@geraldpringle</v>
      </c>
      <c t="s" s="7" r="G70">
        <v>246</v>
      </c>
      <c s="8" r="H70"/>
      <c s="8" r="I70"/>
      <c s="8" r="J70"/>
      <c s="8" r="K70"/>
      <c s="8" r="L70"/>
      <c s="8" r="M70"/>
      <c s="8" r="N70"/>
      <c s="8" r="O70"/>
      <c s="8" r="P70"/>
      <c s="8" r="Q70"/>
      <c s="8" r="R70"/>
      <c s="8" r="S70"/>
      <c s="8" r="T70"/>
      <c s="8" r="U70"/>
      <c s="8" r="V70"/>
      <c s="8" r="W70"/>
      <c s="8" r="X70"/>
      <c s="8" r="Y70"/>
      <c s="8" r="Z70"/>
      <c s="8" r="AA70"/>
    </row>
    <row r="71">
      <c t="s" s="7" r="A71">
        <v>247</v>
      </c>
      <c t="s" s="7" r="B71">
        <v>248</v>
      </c>
      <c t="s" s="7" r="C71">
        <v>249</v>
      </c>
      <c s="8" r="D71"/>
      <c s="8" r="E71"/>
      <c s="8" r="F71"/>
      <c s="8" r="G71"/>
      <c s="8" r="H71"/>
      <c s="8" r="I71"/>
      <c s="8" r="J71"/>
      <c s="8" r="K71"/>
      <c s="8" r="L71"/>
      <c s="8" r="M71"/>
      <c s="8" r="N71"/>
      <c s="8" r="O71"/>
      <c s="8" r="P71"/>
      <c s="8" r="Q71"/>
      <c s="8" r="R71"/>
      <c s="8" r="S71"/>
      <c s="8" r="T71"/>
      <c s="8" r="U71"/>
      <c s="8" r="V71"/>
      <c s="8" r="W71"/>
      <c s="8" r="X71"/>
      <c s="8" r="Y71"/>
      <c s="8" r="Z71"/>
      <c s="8" r="AA71"/>
    </row>
    <row r="72">
      <c t="s" s="7" r="A72">
        <v>250</v>
      </c>
      <c t="s" s="7" r="B72">
        <v>251</v>
      </c>
      <c t="s" s="7" r="C72">
        <v>252</v>
      </c>
      <c t="s" s="7" r="D72">
        <v>253</v>
      </c>
      <c t="str" s="9" r="E72">
        <f>HYPERLINK("https://twitter.com/Liqydice700","@liqydice700")</f>
        <v>@liqydice700</v>
      </c>
      <c s="10" r="F72"/>
      <c t="s" s="7" r="G72">
        <v>254</v>
      </c>
      <c s="8" r="H72"/>
      <c s="8" r="I72"/>
      <c s="8" r="J72"/>
      <c s="8" r="K72"/>
      <c s="8" r="L72"/>
      <c s="8" r="M72"/>
      <c s="8" r="N72"/>
      <c s="8" r="O72"/>
      <c s="8" r="P72"/>
      <c s="8" r="Q72"/>
      <c s="8" r="R72"/>
      <c s="8" r="S72"/>
      <c s="8" r="T72"/>
      <c s="8" r="U72"/>
      <c s="8" r="V72"/>
      <c s="8" r="W72"/>
      <c s="8" r="X72"/>
      <c s="8" r="Y72"/>
      <c s="8" r="Z72"/>
      <c s="8" r="AA72"/>
    </row>
    <row r="73">
      <c t="s" s="7" r="A73">
        <v>255</v>
      </c>
      <c t="s" s="7" r="B73">
        <v>256</v>
      </c>
      <c t="s" s="7" r="C73">
        <v>257</v>
      </c>
      <c s="8" r="D73"/>
      <c s="8" r="E73"/>
      <c s="8" r="F73"/>
      <c s="8" r="G73"/>
      <c s="8" r="H73"/>
      <c s="8" r="I73"/>
      <c s="8" r="J73"/>
      <c s="8" r="K73"/>
      <c s="8" r="L73"/>
      <c s="8" r="M73"/>
      <c s="8" r="N73"/>
      <c s="8" r="O73"/>
      <c s="8" r="P73"/>
      <c s="8" r="Q73"/>
      <c s="8" r="R73"/>
      <c s="8" r="S73"/>
      <c s="8" r="T73"/>
      <c s="8" r="U73"/>
      <c s="8" r="V73"/>
      <c s="8" r="W73"/>
      <c s="8" r="X73"/>
      <c s="8" r="Y73"/>
      <c s="8" r="Z73"/>
      <c s="8" r="AA73"/>
    </row>
    <row r="74">
      <c t="s" s="7" r="A74">
        <v>258</v>
      </c>
      <c t="s" s="7" r="B74">
        <v>259</v>
      </c>
      <c t="s" s="7" r="C74">
        <v>260</v>
      </c>
      <c s="8" r="D74"/>
      <c s="8" r="E74"/>
      <c s="8" r="F74"/>
      <c s="8" r="G74"/>
      <c s="8" r="H74"/>
      <c s="8" r="I74"/>
      <c s="8" r="J74"/>
      <c s="8" r="K74"/>
      <c s="8" r="L74"/>
      <c s="8" r="M74"/>
      <c s="8" r="N74"/>
      <c s="8" r="O74"/>
      <c s="8" r="P74"/>
      <c s="8" r="Q74"/>
      <c s="8" r="R74"/>
      <c s="8" r="S74"/>
      <c s="8" r="T74"/>
      <c s="8" r="U74"/>
      <c s="8" r="V74"/>
      <c s="8" r="W74"/>
      <c s="8" r="X74"/>
      <c s="8" r="Y74"/>
      <c s="8" r="Z74"/>
      <c s="8" r="AA74"/>
    </row>
    <row r="75">
      <c t="s" s="7" r="A75">
        <v>261</v>
      </c>
      <c t="s" s="7" r="B75">
        <v>262</v>
      </c>
      <c t="s" s="7" r="C75">
        <v>263</v>
      </c>
      <c s="8" r="D75"/>
      <c s="8" r="E75"/>
      <c s="8" r="F75"/>
      <c s="8" r="G75"/>
      <c s="8" r="H75"/>
      <c s="8" r="I75"/>
      <c s="8" r="J75"/>
      <c s="8" r="K75"/>
      <c s="8" r="L75"/>
      <c s="8" r="M75"/>
      <c s="8" r="N75"/>
      <c s="8" r="O75"/>
      <c s="8" r="P75"/>
      <c s="8" r="Q75"/>
      <c s="8" r="R75"/>
      <c s="8" r="S75"/>
      <c s="8" r="T75"/>
      <c s="8" r="U75"/>
      <c s="8" r="V75"/>
      <c s="8" r="W75"/>
      <c s="8" r="X75"/>
      <c s="8" r="Y75"/>
      <c s="8" r="Z75"/>
      <c s="8" r="AA75"/>
    </row>
    <row r="76">
      <c t="s" s="7" r="A76">
        <v>264</v>
      </c>
      <c t="s" s="7" r="B76">
        <v>265</v>
      </c>
      <c t="s" s="7" r="C76">
        <v>266</v>
      </c>
      <c s="8" r="D76"/>
      <c s="8" r="E76"/>
      <c s="8" r="F76"/>
      <c s="8" r="G76"/>
      <c s="8" r="H76"/>
      <c s="8" r="I76"/>
      <c s="8" r="J76"/>
      <c s="8" r="K76"/>
      <c s="8" r="L76"/>
      <c s="8" r="M76"/>
      <c s="8" r="N76"/>
      <c s="8" r="O76"/>
      <c s="8" r="P76"/>
      <c s="8" r="Q76"/>
      <c s="8" r="R76"/>
      <c s="8" r="S76"/>
      <c s="8" r="T76"/>
      <c s="8" r="U76"/>
      <c s="8" r="V76"/>
      <c s="8" r="W76"/>
      <c s="8" r="X76"/>
      <c s="8" r="Y76"/>
      <c s="8" r="Z76"/>
      <c s="8" r="AA76"/>
    </row>
    <row r="77">
      <c t="s" s="7" r="A77">
        <v>267</v>
      </c>
      <c t="s" s="7" r="B77">
        <v>268</v>
      </c>
      <c t="s" s="7" r="C77">
        <v>269</v>
      </c>
      <c s="8" r="D77"/>
      <c s="8" r="E77"/>
      <c s="8" r="F77"/>
      <c s="8" r="G77"/>
      <c s="8" r="H77"/>
      <c s="8" r="I77"/>
      <c s="8" r="J77"/>
      <c s="8" r="K77"/>
      <c s="8" r="L77"/>
      <c s="8" r="M77"/>
      <c s="8" r="N77"/>
      <c s="8" r="O77"/>
      <c s="8" r="P77"/>
      <c s="8" r="Q77"/>
      <c s="8" r="R77"/>
      <c s="8" r="S77"/>
      <c s="8" r="T77"/>
      <c s="8" r="U77"/>
      <c s="8" r="V77"/>
      <c s="8" r="W77"/>
      <c s="8" r="X77"/>
      <c s="8" r="Y77"/>
      <c s="8" r="Z77"/>
      <c s="8" r="AA77"/>
    </row>
    <row r="78">
      <c t="s" s="7" r="A78">
        <v>270</v>
      </c>
      <c t="s" s="7" r="B78">
        <v>271</v>
      </c>
      <c t="s" s="7" r="C78">
        <v>272</v>
      </c>
      <c t="s" s="7" r="D78">
        <v>273</v>
      </c>
      <c t="str" s="9" r="E78">
        <f>HYPERLINK("https://twitter.com/Missy3696","@Missy3696")</f>
        <v>@Missy3696</v>
      </c>
      <c t="str" s="9" r="F78">
        <f>HYPERLINK("http://instagram.com/Missy3696","@Missy3696")</f>
        <v>@Missy3696</v>
      </c>
      <c t="s" s="7" r="G78">
        <v>274</v>
      </c>
      <c s="8" r="H78"/>
      <c s="8" r="I78"/>
      <c s="8" r="J78"/>
      <c s="8" r="K78"/>
      <c s="8" r="L78"/>
      <c s="8" r="M78"/>
      <c s="8" r="N78"/>
      <c s="8" r="O78"/>
      <c s="8" r="P78"/>
      <c s="8" r="Q78"/>
      <c s="8" r="R78"/>
      <c s="8" r="S78"/>
      <c s="8" r="T78"/>
      <c s="8" r="U78"/>
      <c s="8" r="V78"/>
      <c s="8" r="W78"/>
      <c s="8" r="X78"/>
      <c s="8" r="Y78"/>
      <c s="8" r="Z78"/>
      <c s="8" r="AA78"/>
    </row>
    <row r="79">
      <c t="s" s="7" r="A79">
        <v>275</v>
      </c>
      <c t="s" s="7" r="B79">
        <v>276</v>
      </c>
      <c t="s" s="7" r="C79">
        <v>277</v>
      </c>
      <c t="s" s="7" r="D79">
        <v>278</v>
      </c>
      <c t="str" s="9" r="E79">
        <f>HYPERLINK("https://twitter.com/Fngr_Xpressions","@Fngr_Xpressions")</f>
        <v>@Fngr_Xpressions</v>
      </c>
      <c t="s" s="7" r="F79">
        <v>279</v>
      </c>
      <c t="s" s="7" r="G79">
        <v>280</v>
      </c>
      <c s="8" r="H79"/>
      <c s="8" r="I79"/>
      <c s="8" r="J79"/>
      <c s="8" r="K79"/>
      <c s="8" r="L79"/>
      <c s="8" r="M79"/>
      <c s="8" r="N79"/>
      <c s="8" r="O79"/>
      <c s="8" r="P79"/>
      <c s="8" r="Q79"/>
      <c s="8" r="R79"/>
      <c s="8" r="S79"/>
      <c s="8" r="T79"/>
      <c s="8" r="U79"/>
      <c s="8" r="V79"/>
      <c s="8" r="W79"/>
      <c s="8" r="X79"/>
      <c s="8" r="Y79"/>
      <c s="8" r="Z79"/>
      <c s="8" r="AA79"/>
    </row>
    <row r="80">
      <c t="s" s="7" r="A80">
        <v>281</v>
      </c>
      <c t="s" s="7" r="B80">
        <v>282</v>
      </c>
      <c t="s" s="7" r="C80">
        <v>283</v>
      </c>
      <c s="8" r="D80"/>
      <c s="8" r="E80"/>
      <c s="8" r="F80"/>
      <c s="8" r="G80"/>
      <c s="8" r="H80"/>
      <c s="8" r="I80"/>
      <c s="8" r="J80"/>
      <c s="8" r="K80"/>
      <c s="8" r="L80"/>
      <c s="8" r="M80"/>
      <c s="8" r="N80"/>
      <c s="8" r="O80"/>
      <c s="8" r="P80"/>
      <c s="8" r="Q80"/>
      <c s="8" r="R80"/>
      <c s="8" r="S80"/>
      <c s="8" r="T80"/>
      <c s="8" r="U80"/>
      <c s="8" r="V80"/>
      <c s="8" r="W80"/>
      <c s="8" r="X80"/>
      <c s="8" r="Y80"/>
      <c s="8" r="Z80"/>
      <c s="8" r="AA80"/>
    </row>
    <row r="81">
      <c t="s" s="7" r="A81">
        <v>284</v>
      </c>
      <c t="s" s="7" r="B81">
        <v>285</v>
      </c>
      <c t="s" s="7" r="C81">
        <v>286</v>
      </c>
      <c t="s" s="7" r="D81">
        <v>287</v>
      </c>
      <c t="str" s="9" r="E81">
        <f>HYPERLINK("https://twitter.com/clubhousandwich","@clubhousandwich")</f>
        <v>@clubhousandwich</v>
      </c>
      <c t="str" s="9" r="F81">
        <f>HYPERLINK("http://instagram.com/clubhousesandwich","@ClubHouseSandwich")</f>
        <v>@ClubHouseSandwich</v>
      </c>
      <c t="s" s="7" r="G81">
        <v>288</v>
      </c>
      <c s="8" r="H81"/>
      <c s="8" r="I81"/>
      <c s="8" r="J81"/>
      <c s="8" r="K81"/>
      <c s="8" r="L81"/>
      <c s="8" r="M81"/>
      <c s="8" r="N81"/>
      <c s="8" r="O81"/>
      <c s="8" r="P81"/>
      <c s="8" r="Q81"/>
      <c s="8" r="R81"/>
      <c s="8" r="S81"/>
      <c s="8" r="T81"/>
      <c s="8" r="U81"/>
      <c s="8" r="V81"/>
      <c s="8" r="W81"/>
      <c s="8" r="X81"/>
      <c s="8" r="Y81"/>
      <c s="8" r="Z81"/>
      <c s="8" r="AA81"/>
    </row>
    <row r="82">
      <c t="s" s="7" r="A82">
        <v>289</v>
      </c>
      <c t="s" s="7" r="B82">
        <v>290</v>
      </c>
      <c t="s" s="7" r="C82">
        <v>291</v>
      </c>
      <c s="8" r="D82"/>
      <c s="8" r="E82"/>
      <c s="8" r="F82"/>
      <c s="8" r="G82"/>
      <c s="8" r="H82"/>
      <c s="8" r="I82"/>
      <c s="8" r="J82"/>
      <c s="8" r="K82"/>
      <c s="8" r="L82"/>
      <c s="8" r="M82"/>
      <c s="8" r="N82"/>
      <c s="8" r="O82"/>
      <c s="8" r="P82"/>
      <c s="8" r="Q82"/>
      <c s="8" r="R82"/>
      <c s="8" r="S82"/>
      <c s="8" r="T82"/>
      <c s="8" r="U82"/>
      <c s="8" r="V82"/>
      <c s="8" r="W82"/>
      <c s="8" r="X82"/>
      <c s="8" r="Y82"/>
      <c s="8" r="Z82"/>
      <c s="8" r="AA82"/>
    </row>
    <row r="83">
      <c t="s" s="7" r="A83">
        <v>292</v>
      </c>
      <c t="s" s="7" r="B83">
        <v>293</v>
      </c>
      <c t="s" s="7" r="C83">
        <v>294</v>
      </c>
      <c s="8" r="D83"/>
      <c s="8" r="E83"/>
      <c s="8" r="F83"/>
      <c s="8" r="G83"/>
      <c s="8" r="H83"/>
      <c s="8" r="I83"/>
      <c s="8" r="J83"/>
      <c s="8" r="K83"/>
      <c s="8" r="L83"/>
      <c s="8" r="M83"/>
      <c s="8" r="N83"/>
      <c s="8" r="O83"/>
      <c s="8" r="P83"/>
      <c s="8" r="Q83"/>
      <c s="8" r="R83"/>
      <c s="8" r="S83"/>
      <c s="8" r="T83"/>
      <c s="8" r="U83"/>
      <c s="8" r="V83"/>
      <c s="8" r="W83"/>
      <c s="8" r="X83"/>
      <c s="8" r="Y83"/>
      <c s="8" r="Z83"/>
      <c s="8" r="AA83"/>
    </row>
    <row r="84">
      <c t="s" s="7" r="A84">
        <v>295</v>
      </c>
      <c t="s" s="7" r="B84">
        <v>296</v>
      </c>
      <c t="s" s="7" r="C84">
        <v>297</v>
      </c>
      <c s="8" r="D84"/>
      <c s="8" r="E84"/>
      <c s="8" r="F84"/>
      <c s="8" r="G84"/>
      <c s="8" r="H84"/>
      <c s="8" r="I84"/>
      <c s="8" r="J84"/>
      <c s="8" r="K84"/>
      <c s="8" r="L84"/>
      <c s="8" r="M84"/>
      <c s="8" r="N84"/>
      <c s="8" r="O84"/>
      <c s="8" r="P84"/>
      <c s="8" r="Q84"/>
      <c s="8" r="R84"/>
      <c s="8" r="S84"/>
      <c s="8" r="T84"/>
      <c s="8" r="U84"/>
      <c s="8" r="V84"/>
      <c s="8" r="W84"/>
      <c s="8" r="X84"/>
      <c s="8" r="Y84"/>
      <c s="8" r="Z84"/>
      <c s="8" r="AA84"/>
    </row>
    <row r="85">
      <c t="s" s="7" r="A85">
        <v>298</v>
      </c>
      <c t="s" s="7" r="B85">
        <v>299</v>
      </c>
      <c t="s" s="7" r="C85">
        <v>300</v>
      </c>
      <c s="8" r="D85"/>
      <c s="8" r="E85"/>
      <c s="8" r="F85"/>
      <c s="8" r="G85"/>
      <c s="8" r="H85"/>
      <c s="8" r="I85"/>
      <c s="8" r="J85"/>
      <c s="8" r="K85"/>
      <c s="8" r="L85"/>
      <c s="8" r="M85"/>
      <c s="8" r="N85"/>
      <c s="8" r="O85"/>
      <c s="8" r="P85"/>
      <c s="8" r="Q85"/>
      <c s="8" r="R85"/>
      <c s="8" r="S85"/>
      <c s="8" r="T85"/>
      <c s="8" r="U85"/>
      <c s="8" r="V85"/>
      <c s="8" r="W85"/>
      <c s="8" r="X85"/>
      <c s="8" r="Y85"/>
      <c s="8" r="Z85"/>
      <c s="8" r="AA85"/>
    </row>
    <row r="86">
      <c t="s" s="7" r="A86">
        <v>301</v>
      </c>
      <c t="s" s="7" r="B86">
        <v>302</v>
      </c>
      <c t="s" s="7" r="C86">
        <v>303</v>
      </c>
      <c s="8" r="D86"/>
      <c s="8" r="E86"/>
      <c s="8" r="F86"/>
      <c s="8" r="G86"/>
      <c s="8" r="H86"/>
      <c s="8" r="I86"/>
      <c s="8" r="J86"/>
      <c s="8" r="K86"/>
      <c s="8" r="L86"/>
      <c s="8" r="M86"/>
      <c s="8" r="N86"/>
      <c s="8" r="O86"/>
      <c s="8" r="P86"/>
      <c s="8" r="Q86"/>
      <c s="8" r="R86"/>
      <c s="8" r="S86"/>
      <c s="8" r="T86"/>
      <c s="8" r="U86"/>
      <c s="8" r="V86"/>
      <c s="8" r="W86"/>
      <c s="8" r="X86"/>
      <c s="8" r="Y86"/>
      <c s="8" r="Z86"/>
      <c s="8" r="AA86"/>
    </row>
    <row r="87">
      <c t="s" s="7" r="A87">
        <v>304</v>
      </c>
      <c t="s" s="7" r="B87">
        <v>305</v>
      </c>
      <c t="s" s="7" r="C87">
        <v>306</v>
      </c>
      <c s="8" r="D87"/>
      <c s="8" r="E87"/>
      <c s="8" r="F87"/>
      <c s="8" r="G87"/>
      <c s="8" r="H87"/>
      <c s="8" r="I87"/>
      <c s="8" r="J87"/>
      <c s="8" r="K87"/>
      <c s="8" r="L87"/>
      <c s="8" r="M87"/>
      <c s="8" r="N87"/>
      <c s="8" r="O87"/>
      <c s="8" r="P87"/>
      <c s="8" r="Q87"/>
      <c s="8" r="R87"/>
      <c s="8" r="S87"/>
      <c s="8" r="T87"/>
      <c s="8" r="U87"/>
      <c s="8" r="V87"/>
      <c s="8" r="W87"/>
      <c s="8" r="X87"/>
      <c s="8" r="Y87"/>
      <c s="8" r="Z87"/>
      <c s="8" r="AA87"/>
    </row>
    <row r="88">
      <c t="s" s="7" r="A88">
        <v>307</v>
      </c>
      <c t="s" s="7" r="B88">
        <v>308</v>
      </c>
      <c t="s" s="7" r="C88">
        <v>309</v>
      </c>
      <c s="8" r="D88"/>
      <c s="8" r="E88"/>
      <c s="8" r="F88"/>
      <c s="8" r="G88"/>
      <c s="8" r="H88"/>
      <c s="8" r="I88"/>
      <c s="8" r="J88"/>
      <c s="8" r="K88"/>
      <c s="8" r="L88"/>
      <c s="8" r="M88"/>
      <c s="8" r="N88"/>
      <c s="8" r="O88"/>
      <c s="8" r="P88"/>
      <c s="8" r="Q88"/>
      <c s="8" r="R88"/>
      <c s="8" r="S88"/>
      <c s="8" r="T88"/>
      <c s="8" r="U88"/>
      <c s="8" r="V88"/>
      <c s="8" r="W88"/>
      <c s="8" r="X88"/>
      <c s="8" r="Y88"/>
      <c s="8" r="Z88"/>
      <c s="8" r="AA88"/>
    </row>
    <row r="89">
      <c t="s" s="7" r="A89">
        <v>310</v>
      </c>
      <c t="s" s="7" r="B89">
        <v>311</v>
      </c>
      <c t="s" s="7" r="C89">
        <v>312</v>
      </c>
      <c s="8" r="D89"/>
      <c s="8" r="E89"/>
      <c s="8" r="F89"/>
      <c s="8" r="G89"/>
      <c s="8" r="H89"/>
      <c s="8" r="I89"/>
      <c s="8" r="J89"/>
      <c s="8" r="K89"/>
      <c s="8" r="L89"/>
      <c s="8" r="M89"/>
      <c s="8" r="N89"/>
      <c s="8" r="O89"/>
      <c s="8" r="P89"/>
      <c s="8" r="Q89"/>
      <c s="8" r="R89"/>
      <c s="8" r="S89"/>
      <c s="8" r="T89"/>
      <c s="8" r="U89"/>
      <c s="8" r="V89"/>
      <c s="8" r="W89"/>
      <c s="8" r="X89"/>
      <c s="8" r="Y89"/>
      <c s="8" r="Z89"/>
      <c s="8" r="AA89"/>
    </row>
    <row r="90">
      <c t="s" s="7" r="A90">
        <v>313</v>
      </c>
      <c t="s" s="7" r="B90">
        <v>314</v>
      </c>
      <c t="s" s="7" r="C90">
        <v>315</v>
      </c>
      <c s="8" r="D90"/>
      <c s="8" r="E90"/>
      <c s="8" r="F90"/>
      <c s="8" r="G90"/>
      <c s="8" r="H90"/>
      <c s="8" r="I90"/>
      <c s="8" r="J90"/>
      <c s="8" r="K90"/>
      <c s="8" r="L90"/>
      <c s="8" r="M90"/>
      <c s="8" r="N90"/>
      <c s="8" r="O90"/>
      <c s="8" r="P90"/>
      <c s="8" r="Q90"/>
      <c s="8" r="R90"/>
      <c s="8" r="S90"/>
      <c s="8" r="T90"/>
      <c s="8" r="U90"/>
      <c s="8" r="V90"/>
      <c s="8" r="W90"/>
      <c s="8" r="X90"/>
      <c s="8" r="Y90"/>
      <c s="8" r="Z90"/>
      <c s="8" r="AA90"/>
    </row>
    <row r="91">
      <c t="s" s="7" r="A91">
        <v>316</v>
      </c>
      <c t="s" s="7" r="B91">
        <v>317</v>
      </c>
      <c t="s" s="7" r="C91">
        <v>318</v>
      </c>
      <c s="8" r="D91"/>
      <c s="8" r="E91"/>
      <c s="8" r="F91"/>
      <c s="8" r="G91"/>
      <c s="8" r="H91"/>
      <c s="8" r="I91"/>
      <c s="8" r="J91"/>
      <c s="8" r="K91"/>
      <c s="8" r="L91"/>
      <c s="8" r="M91"/>
      <c s="8" r="N91"/>
      <c s="8" r="O91"/>
      <c s="8" r="P91"/>
      <c s="8" r="Q91"/>
      <c s="8" r="R91"/>
      <c s="8" r="S91"/>
      <c s="8" r="T91"/>
      <c s="8" r="U91"/>
      <c s="8" r="V91"/>
      <c s="8" r="W91"/>
      <c s="8" r="X91"/>
      <c s="8" r="Y91"/>
      <c s="8" r="Z91"/>
      <c s="8" r="AA91"/>
    </row>
    <row r="92">
      <c t="s" s="7" r="A92">
        <v>319</v>
      </c>
      <c t="s" s="7" r="B92">
        <v>320</v>
      </c>
      <c t="s" s="7" r="C92">
        <v>321</v>
      </c>
      <c s="8" r="D92"/>
      <c s="8" r="E92"/>
      <c s="8" r="F92"/>
      <c s="8" r="G92"/>
      <c s="8" r="H92"/>
      <c s="8" r="I92"/>
      <c s="8" r="J92"/>
      <c s="8" r="K92"/>
      <c s="8" r="L92"/>
      <c s="8" r="M92"/>
      <c s="8" r="N92"/>
      <c s="8" r="O92"/>
      <c s="8" r="P92"/>
      <c s="8" r="Q92"/>
      <c s="8" r="R92"/>
      <c s="8" r="S92"/>
      <c s="8" r="T92"/>
      <c s="8" r="U92"/>
      <c s="8" r="V92"/>
      <c s="8" r="W92"/>
      <c s="8" r="X92"/>
      <c s="8" r="Y92"/>
      <c s="8" r="Z92"/>
      <c s="8" r="AA92"/>
    </row>
    <row r="93">
      <c t="s" s="7" r="A93">
        <v>322</v>
      </c>
      <c t="s" s="7" r="B93">
        <v>323</v>
      </c>
      <c t="s" s="7" r="C93">
        <v>324</v>
      </c>
      <c t="s" s="7" r="D93">
        <v>325</v>
      </c>
      <c s="8" r="E93"/>
      <c s="8" r="F93"/>
      <c s="8" r="G93"/>
      <c s="8" r="H93"/>
      <c s="8" r="I93"/>
      <c s="8" r="J93"/>
      <c s="8" r="K93"/>
      <c s="8" r="L93"/>
      <c s="8" r="M93"/>
      <c s="8" r="N93"/>
      <c s="8" r="O93"/>
      <c s="8" r="P93"/>
      <c s="8" r="Q93"/>
      <c s="8" r="R93"/>
      <c s="8" r="S93"/>
      <c s="8" r="T93"/>
      <c s="8" r="U93"/>
      <c s="8" r="V93"/>
      <c s="8" r="W93"/>
      <c s="8" r="X93"/>
      <c s="8" r="Y93"/>
      <c s="8" r="Z93"/>
      <c s="8" r="AA93"/>
    </row>
    <row r="94">
      <c t="s" s="7" r="A94">
        <v>326</v>
      </c>
      <c t="s" s="7" r="B94">
        <v>327</v>
      </c>
      <c t="s" s="7" r="C94">
        <v>328</v>
      </c>
      <c s="8" r="D94"/>
      <c s="8" r="E94"/>
      <c s="8" r="F94"/>
      <c s="8" r="G94"/>
      <c s="8" r="H94"/>
      <c s="8" r="I94"/>
      <c s="8" r="J94"/>
      <c s="8" r="K94"/>
      <c s="8" r="L94"/>
      <c s="8" r="M94"/>
      <c s="8" r="N94"/>
      <c s="8" r="O94"/>
      <c s="8" r="P94"/>
      <c s="8" r="Q94"/>
      <c s="8" r="R94"/>
      <c s="8" r="S94"/>
      <c s="8" r="T94"/>
      <c s="8" r="U94"/>
      <c s="8" r="V94"/>
      <c s="8" r="W94"/>
      <c s="8" r="X94"/>
      <c s="8" r="Y94"/>
      <c s="8" r="Z94"/>
      <c s="8" r="AA94"/>
    </row>
    <row r="95">
      <c t="s" s="7" r="A95">
        <v>329</v>
      </c>
      <c t="s" s="7" r="B95">
        <v>330</v>
      </c>
      <c t="s" s="7" r="C95">
        <v>331</v>
      </c>
      <c s="8" r="D95"/>
      <c s="8" r="E95"/>
      <c s="8" r="F95"/>
      <c s="8" r="G95"/>
      <c s="8" r="H95"/>
      <c s="8" r="I95"/>
      <c s="8" r="J95"/>
      <c s="8" r="K95"/>
      <c s="8" r="L95"/>
      <c s="8" r="M95"/>
      <c s="8" r="N95"/>
      <c s="8" r="O95"/>
      <c s="8" r="P95"/>
      <c s="8" r="Q95"/>
      <c s="8" r="R95"/>
      <c s="8" r="S95"/>
      <c s="8" r="T95"/>
      <c s="8" r="U95"/>
      <c s="8" r="V95"/>
      <c s="8" r="W95"/>
      <c s="8" r="X95"/>
      <c s="8" r="Y95"/>
      <c s="8" r="Z95"/>
      <c s="8" r="AA95"/>
    </row>
    <row r="96">
      <c t="s" s="7" r="A96">
        <v>332</v>
      </c>
      <c t="s" s="7" r="B96">
        <v>333</v>
      </c>
      <c t="s" s="7" r="C96">
        <v>334</v>
      </c>
      <c s="8" r="D96"/>
      <c s="8" r="E96"/>
      <c s="8" r="F96"/>
      <c s="8" r="G96"/>
      <c s="8" r="H96"/>
      <c s="8" r="I96"/>
      <c s="8" r="J96"/>
      <c s="8" r="K96"/>
      <c s="8" r="L96"/>
      <c s="8" r="M96"/>
      <c s="8" r="N96"/>
      <c s="8" r="O96"/>
      <c s="8" r="P96"/>
      <c s="8" r="Q96"/>
      <c s="8" r="R96"/>
      <c s="8" r="S96"/>
      <c s="8" r="T96"/>
      <c s="8" r="U96"/>
      <c s="8" r="V96"/>
      <c s="8" r="W96"/>
      <c s="8" r="X96"/>
      <c s="8" r="Y96"/>
      <c s="8" r="Z96"/>
      <c s="8" r="AA96"/>
    </row>
    <row r="97">
      <c t="s" s="7" r="A97">
        <v>335</v>
      </c>
      <c t="s" s="7" r="B97">
        <v>336</v>
      </c>
      <c t="s" s="7" r="C97">
        <v>337</v>
      </c>
      <c s="8" r="D97"/>
      <c s="8" r="E97"/>
      <c s="8" r="F97"/>
      <c s="8" r="G97"/>
      <c s="8" r="H97"/>
      <c s="8" r="I97"/>
      <c s="8" r="J97"/>
      <c s="8" r="K97"/>
      <c s="8" r="L97"/>
      <c s="8" r="M97"/>
      <c s="8" r="N97"/>
      <c s="8" r="O97"/>
      <c s="8" r="P97"/>
      <c s="8" r="Q97"/>
      <c s="8" r="R97"/>
      <c s="8" r="S97"/>
      <c s="8" r="T97"/>
      <c s="8" r="U97"/>
      <c s="8" r="V97"/>
      <c s="8" r="W97"/>
      <c s="8" r="X97"/>
      <c s="8" r="Y97"/>
      <c s="8" r="Z97"/>
      <c s="8" r="AA97"/>
    </row>
    <row r="98">
      <c t="s" s="7" r="A98">
        <v>338</v>
      </c>
      <c t="s" s="7" r="B98">
        <v>339</v>
      </c>
      <c t="s" s="7" r="C98">
        <v>340</v>
      </c>
      <c t="s" s="7" r="D98">
        <v>341</v>
      </c>
      <c t="str" s="9" r="E98">
        <f>HYPERLINK("https://twitter.com/HandyCappedommy","@handycappedommy")</f>
        <v>@handycappedommy</v>
      </c>
      <c t="str" s="9" r="F98">
        <f>HYPERLINK("http://instagram.com/handycappedommy","@handycappedommy")</f>
        <v>@handycappedommy</v>
      </c>
      <c s="8" r="G98"/>
      <c s="8" r="H98"/>
      <c s="8" r="I98"/>
      <c s="8" r="J98"/>
      <c s="8" r="K98"/>
      <c s="8" r="L98"/>
      <c s="8" r="M98"/>
      <c s="8" r="N98"/>
      <c s="8" r="O98"/>
      <c s="8" r="P98"/>
      <c s="8" r="Q98"/>
      <c s="8" r="R98"/>
      <c s="8" r="S98"/>
      <c s="8" r="T98"/>
      <c s="8" r="U98"/>
      <c s="8" r="V98"/>
      <c s="8" r="W98"/>
      <c s="8" r="X98"/>
      <c s="8" r="Y98"/>
      <c s="8" r="Z98"/>
      <c s="8" r="AA98"/>
    </row>
    <row r="99">
      <c t="s" s="7" r="A99">
        <v>342</v>
      </c>
      <c t="s" s="7" r="B99">
        <v>343</v>
      </c>
      <c t="s" s="7" r="C99">
        <v>344</v>
      </c>
      <c s="8" r="D99"/>
      <c s="8" r="E99"/>
      <c s="8" r="F99"/>
      <c s="8" r="G99"/>
      <c s="8" r="H99"/>
      <c s="8" r="I99"/>
      <c s="8" r="J99"/>
      <c s="8" r="K99"/>
      <c s="8" r="L99"/>
      <c s="8" r="M99"/>
      <c s="8" r="N99"/>
      <c s="8" r="O99"/>
      <c s="8" r="P99"/>
      <c s="8" r="Q99"/>
      <c s="8" r="R99"/>
      <c s="8" r="S99"/>
      <c s="8" r="T99"/>
      <c s="8" r="U99"/>
      <c s="8" r="V99"/>
      <c s="8" r="W99"/>
      <c s="8" r="X99"/>
      <c s="8" r="Y99"/>
      <c s="8" r="Z99"/>
      <c s="8" r="AA99"/>
    </row>
    <row r="100">
      <c t="s" s="7" r="A100">
        <v>345</v>
      </c>
      <c t="s" s="7" r="B100">
        <v>346</v>
      </c>
      <c t="s" s="7" r="C100">
        <v>347</v>
      </c>
      <c s="8" r="D100"/>
      <c s="8" r="E100"/>
      <c s="8" r="F100"/>
      <c s="8" r="G100"/>
      <c s="8" r="H100"/>
      <c s="8" r="I100"/>
      <c s="8" r="J100"/>
      <c s="8" r="K100"/>
      <c s="8" r="L100"/>
      <c s="8" r="M100"/>
      <c s="8" r="N100"/>
      <c s="8" r="O100"/>
      <c s="8" r="P100"/>
      <c s="8" r="Q100"/>
      <c s="8" r="R100"/>
      <c s="8" r="S100"/>
      <c s="8" r="T100"/>
      <c s="8" r="U100"/>
      <c s="8" r="V100"/>
      <c s="8" r="W100"/>
      <c s="8" r="X100"/>
      <c s="8" r="Y100"/>
      <c s="8" r="Z100"/>
      <c s="8" r="AA100"/>
    </row>
    <row r="101">
      <c t="s" s="7" r="A101">
        <v>348</v>
      </c>
      <c t="s" s="7" r="B101">
        <v>349</v>
      </c>
      <c t="s" s="7" r="C101">
        <v>350</v>
      </c>
      <c s="8" r="D101"/>
      <c s="8" r="E101"/>
      <c s="8" r="F101"/>
      <c s="8" r="G101"/>
      <c s="8" r="H101"/>
      <c s="8" r="I101"/>
      <c s="8" r="J101"/>
      <c s="8" r="K101"/>
      <c s="8" r="L101"/>
      <c s="8" r="M101"/>
      <c s="8" r="N101"/>
      <c s="8" r="O101"/>
      <c s="8" r="P101"/>
      <c s="8" r="Q101"/>
      <c s="8" r="R101"/>
      <c s="8" r="S101"/>
      <c s="8" r="T101"/>
      <c s="8" r="U101"/>
      <c s="8" r="V101"/>
      <c s="8" r="W101"/>
      <c s="8" r="X101"/>
      <c s="8" r="Y101"/>
      <c s="8" r="Z101"/>
      <c s="8" r="AA101"/>
    </row>
    <row r="102">
      <c t="s" s="7" r="A102">
        <v>351</v>
      </c>
      <c t="s" s="7" r="B102">
        <v>352</v>
      </c>
      <c t="s" s="7" r="C102">
        <v>353</v>
      </c>
      <c s="8" r="D102"/>
      <c s="8" r="E102"/>
      <c s="8" r="F102"/>
      <c s="8" r="G102"/>
      <c s="8" r="H102"/>
      <c s="8" r="I102"/>
      <c s="8" r="J102"/>
      <c s="8" r="K102"/>
      <c s="8" r="L102"/>
      <c s="8" r="M102"/>
      <c s="8" r="N102"/>
      <c s="8" r="O102"/>
      <c s="8" r="P102"/>
      <c s="8" r="Q102"/>
      <c s="8" r="R102"/>
      <c s="8" r="S102"/>
      <c s="8" r="T102"/>
      <c s="8" r="U102"/>
      <c s="8" r="V102"/>
      <c s="8" r="W102"/>
      <c s="8" r="X102"/>
      <c s="8" r="Y102"/>
      <c s="8" r="Z102"/>
      <c s="8" r="AA102"/>
    </row>
    <row r="103">
      <c t="s" s="7" r="A103">
        <v>354</v>
      </c>
      <c t="s" s="7" r="B103">
        <v>355</v>
      </c>
      <c t="s" s="7" r="C103">
        <v>356</v>
      </c>
      <c t="s" s="7" r="D103">
        <v>357</v>
      </c>
      <c t="str" s="9" r="E103">
        <f>HYPERLINK("https://twitter.com/CRAZYJERR","@CRAZYJERR")</f>
        <v>@CRAZYJERR</v>
      </c>
      <c t="str" s="9" r="F103">
        <f>HYPERLINK("http://instagram.com/CRAZYJERR","@crazyjerr")</f>
        <v>@crazyjerr</v>
      </c>
      <c s="8" r="G103"/>
      <c t="s" s="7" r="H103">
        <v>358</v>
      </c>
      <c s="8" r="I103"/>
      <c s="8" r="J103"/>
      <c s="8" r="K103"/>
      <c s="8" r="L103"/>
      <c s="8" r="M103"/>
      <c s="8" r="N103"/>
      <c s="8" r="O103"/>
      <c s="8" r="P103"/>
      <c s="8" r="Q103"/>
      <c s="8" r="R103"/>
      <c s="8" r="S103"/>
      <c s="8" r="T103"/>
      <c s="8" r="U103"/>
      <c s="8" r="V103"/>
      <c s="8" r="W103"/>
      <c s="8" r="X103"/>
      <c s="8" r="Y103"/>
      <c s="8" r="Z103"/>
      <c s="8" r="AA103"/>
    </row>
    <row r="104">
      <c t="s" s="7" r="A104">
        <v>359</v>
      </c>
      <c t="s" s="7" r="B104">
        <v>360</v>
      </c>
      <c s="7" r="C104"/>
      <c t="s" s="7" r="D104">
        <v>361</v>
      </c>
      <c t="str" s="9" r="E104">
        <f>HYPERLINK("https://twitter.com/cringer","@cringer")</f>
        <v>@cringer</v>
      </c>
      <c t="str" s="9" r="F104">
        <f>HYPERLINK("http://instagram.com/cringeworld","@cringeworld")</f>
        <v>@cringeworld</v>
      </c>
      <c t="s" s="7" r="G104">
        <v>362</v>
      </c>
      <c s="8" r="H104"/>
      <c s="8" r="I104"/>
      <c s="8" r="J104"/>
      <c s="8" r="K104"/>
      <c s="8" r="L104"/>
      <c s="8" r="M104"/>
      <c s="8" r="N104"/>
      <c s="8" r="O104"/>
      <c s="8" r="P104"/>
      <c s="8" r="Q104"/>
      <c s="8" r="R104"/>
      <c s="8" r="S104"/>
      <c s="8" r="T104"/>
      <c s="8" r="U104"/>
      <c s="8" r="V104"/>
      <c s="8" r="W104"/>
      <c s="8" r="X104"/>
      <c s="8" r="Y104"/>
      <c s="8" r="Z104"/>
      <c s="8" r="AA104"/>
    </row>
    <row r="105">
      <c t="s" s="7" r="A105">
        <v>363</v>
      </c>
      <c t="s" s="7" r="B105">
        <v>364</v>
      </c>
      <c t="s" s="7" r="C105">
        <v>365</v>
      </c>
      <c s="8" r="D105"/>
      <c s="8" r="E105"/>
      <c s="8" r="F105"/>
      <c s="8" r="G105"/>
      <c s="8" r="H105"/>
      <c s="8" r="I105"/>
      <c s="8" r="J105"/>
      <c s="8" r="K105"/>
      <c s="8" r="L105"/>
      <c s="8" r="M105"/>
      <c s="8" r="N105"/>
      <c s="8" r="O105"/>
      <c s="8" r="P105"/>
      <c s="8" r="Q105"/>
      <c s="8" r="R105"/>
      <c s="8" r="S105"/>
      <c s="8" r="T105"/>
      <c s="8" r="U105"/>
      <c s="8" r="V105"/>
      <c s="8" r="W105"/>
      <c s="8" r="X105"/>
      <c s="8" r="Y105"/>
      <c s="8" r="Z105"/>
      <c s="8" r="AA105"/>
    </row>
    <row r="106">
      <c t="s" s="7" r="A106">
        <v>366</v>
      </c>
      <c t="s" s="7" r="B106">
        <v>367</v>
      </c>
      <c t="s" s="7" r="C106">
        <v>368</v>
      </c>
      <c t="s" s="7" r="D106">
        <v>369</v>
      </c>
      <c t="str" s="9" r="E106">
        <f>HYPERLINK("https://twitter.com/jakejeff","@jakejeff")</f>
        <v>@jakejeff</v>
      </c>
      <c t="str" s="9" r="F106">
        <f>HYPERLINK("http://instagram.com/jakejeff78","@jakejeff78")</f>
        <v>@jakejeff78</v>
      </c>
      <c t="s" s="7" r="G106">
        <v>370</v>
      </c>
      <c s="8" r="H106"/>
      <c s="8" r="I106"/>
      <c s="8" r="J106"/>
      <c s="8" r="K106"/>
      <c s="8" r="L106"/>
      <c s="8" r="M106"/>
      <c s="8" r="N106"/>
      <c s="8" r="O106"/>
      <c s="8" r="P106"/>
      <c s="8" r="Q106"/>
      <c s="8" r="R106"/>
      <c s="8" r="S106"/>
      <c s="8" r="T106"/>
      <c s="8" r="U106"/>
      <c s="8" r="V106"/>
      <c s="8" r="W106"/>
      <c s="8" r="X106"/>
      <c s="8" r="Y106"/>
      <c s="8" r="Z106"/>
      <c s="8" r="AA106"/>
    </row>
    <row r="107">
      <c t="s" s="7" r="A107">
        <v>371</v>
      </c>
      <c t="s" s="7" r="B107">
        <v>372</v>
      </c>
      <c t="s" s="7" r="C107">
        <v>373</v>
      </c>
      <c s="8" r="D107"/>
      <c s="8" r="E107"/>
      <c s="8" r="F107"/>
      <c s="8" r="G107"/>
      <c s="8" r="H107"/>
      <c s="8" r="I107"/>
      <c s="8" r="J107"/>
      <c s="8" r="K107"/>
      <c s="8" r="L107"/>
      <c s="8" r="M107"/>
      <c s="8" r="N107"/>
      <c s="8" r="O107"/>
      <c s="8" r="P107"/>
      <c s="8" r="Q107"/>
      <c s="8" r="R107"/>
      <c s="8" r="S107"/>
      <c s="8" r="T107"/>
      <c s="8" r="U107"/>
      <c s="8" r="V107"/>
      <c s="8" r="W107"/>
      <c s="8" r="X107"/>
      <c s="8" r="Y107"/>
      <c s="8" r="Z107"/>
      <c s="8" r="AA107"/>
    </row>
    <row r="108">
      <c t="s" s="7" r="A108">
        <v>374</v>
      </c>
      <c t="s" s="7" r="B108">
        <v>375</v>
      </c>
      <c t="s" s="7" r="C108">
        <v>376</v>
      </c>
      <c t="s" s="7" r="D108">
        <v>377</v>
      </c>
      <c t="str" s="9" r="E108">
        <f>HYPERLINK("https://twitter.com/KevinKraftSucks","@kevinkraftsucks")</f>
        <v>@kevinkraftsucks</v>
      </c>
      <c t="str" s="9" r="F108">
        <f>HYPERLINK("http://instagram.com/kevinkraft/","@kevinkraft")</f>
        <v>@kevinkraft</v>
      </c>
      <c s="7" r="G108"/>
      <c t="s" s="7" r="H108">
        <v>378</v>
      </c>
      <c s="8" r="I108"/>
      <c s="8" r="J108"/>
      <c s="8" r="K108"/>
      <c s="8" r="L108"/>
      <c s="8" r="M108"/>
      <c s="8" r="N108"/>
      <c s="8" r="O108"/>
      <c s="8" r="P108"/>
      <c s="8" r="Q108"/>
      <c s="8" r="R108"/>
      <c s="8" r="S108"/>
      <c s="8" r="T108"/>
      <c s="8" r="U108"/>
      <c s="8" r="V108"/>
      <c s="8" r="W108"/>
      <c s="8" r="X108"/>
      <c s="8" r="Y108"/>
      <c s="8" r="Z108"/>
      <c s="8" r="AA108"/>
    </row>
    <row r="109">
      <c t="s" s="7" r="A109">
        <v>379</v>
      </c>
      <c t="s" s="7" r="B109">
        <v>380</v>
      </c>
      <c t="s" s="7" r="C109">
        <v>381</v>
      </c>
      <c s="8" r="D109"/>
      <c s="8" r="E109"/>
      <c s="8" r="F109"/>
      <c s="8" r="G109"/>
      <c s="8" r="H109"/>
      <c s="8" r="I109"/>
      <c s="8" r="J109"/>
      <c s="8" r="K109"/>
      <c s="8" r="L109"/>
      <c s="8" r="M109"/>
      <c s="8" r="N109"/>
      <c s="8" r="O109"/>
      <c s="8" r="P109"/>
      <c s="8" r="Q109"/>
      <c s="8" r="R109"/>
      <c s="8" r="S109"/>
      <c s="8" r="T109"/>
      <c s="8" r="U109"/>
      <c s="8" r="V109"/>
      <c s="8" r="W109"/>
      <c s="8" r="X109"/>
      <c s="8" r="Y109"/>
      <c s="8" r="Z109"/>
      <c s="8" r="AA109"/>
    </row>
    <row r="110">
      <c t="s" s="7" r="A110">
        <v>382</v>
      </c>
      <c t="s" s="7" r="B110">
        <v>383</v>
      </c>
      <c t="s" s="7" r="C110">
        <v>384</v>
      </c>
      <c t="s" s="7" r="D110">
        <v>385</v>
      </c>
      <c t="str" s="9" r="E110">
        <f>HYPERLINK("https://twitter.com/Guitar455","@guitar455")</f>
        <v>@guitar455</v>
      </c>
      <c t="str" s="9" r="F110">
        <f>HYPERLINK("http://instagram.com/hhtac88","@hhtac88")</f>
        <v>@hhtac88</v>
      </c>
      <c t="s" s="7" r="G110">
        <v>386</v>
      </c>
      <c s="8" r="H110"/>
      <c s="8" r="I110"/>
      <c s="8" r="J110"/>
      <c s="8" r="K110"/>
      <c s="8" r="L110"/>
      <c s="8" r="M110"/>
      <c s="8" r="N110"/>
      <c s="8" r="O110"/>
      <c s="8" r="P110"/>
      <c s="8" r="Q110"/>
      <c s="8" r="R110"/>
      <c s="8" r="S110"/>
      <c s="8" r="T110"/>
      <c s="8" r="U110"/>
      <c s="8" r="V110"/>
      <c s="8" r="W110"/>
      <c s="8" r="X110"/>
      <c s="8" r="Y110"/>
      <c s="8" r="Z110"/>
      <c s="8" r="AA110"/>
    </row>
    <row r="111">
      <c t="s" s="7" r="A111">
        <v>387</v>
      </c>
      <c t="s" s="7" r="B111">
        <v>388</v>
      </c>
      <c t="s" s="7" r="C111">
        <v>389</v>
      </c>
      <c s="8" r="D111"/>
      <c s="8" r="E111"/>
      <c s="8" r="F111"/>
      <c s="8" r="G111"/>
      <c s="8" r="H111"/>
      <c s="8" r="I111"/>
      <c s="8" r="J111"/>
      <c s="8" r="K111"/>
      <c s="8" r="L111"/>
      <c s="8" r="M111"/>
      <c s="8" r="N111"/>
      <c s="8" r="O111"/>
      <c s="8" r="P111"/>
      <c s="8" r="Q111"/>
      <c s="8" r="R111"/>
      <c s="8" r="S111"/>
      <c s="8" r="T111"/>
      <c s="8" r="U111"/>
      <c s="8" r="V111"/>
      <c s="8" r="W111"/>
      <c s="8" r="X111"/>
      <c s="8" r="Y111"/>
      <c s="8" r="Z111"/>
      <c s="8" r="AA111"/>
    </row>
    <row r="112">
      <c t="s" s="7" r="A112">
        <v>390</v>
      </c>
      <c t="s" s="7" r="B112">
        <v>391</v>
      </c>
      <c t="s" s="7" r="C112">
        <v>392</v>
      </c>
      <c s="8" r="D112"/>
      <c s="8" r="E112"/>
      <c s="8" r="F112"/>
      <c s="8" r="G112"/>
      <c s="8" r="H112"/>
      <c s="8" r="I112"/>
      <c s="8" r="J112"/>
      <c s="8" r="K112"/>
      <c s="8" r="L112"/>
      <c s="8" r="M112"/>
      <c s="8" r="N112"/>
      <c s="8" r="O112"/>
      <c s="8" r="P112"/>
      <c s="8" r="Q112"/>
      <c s="8" r="R112"/>
      <c s="8" r="S112"/>
      <c s="8" r="T112"/>
      <c s="8" r="U112"/>
      <c s="8" r="V112"/>
      <c s="8" r="W112"/>
      <c s="8" r="X112"/>
      <c s="8" r="Y112"/>
      <c s="8" r="Z112"/>
      <c s="8" r="AA112"/>
    </row>
    <row r="113">
      <c t="s" s="7" r="A113">
        <v>393</v>
      </c>
      <c t="s" s="7" r="B113">
        <v>394</v>
      </c>
      <c t="s" s="7" r="C113">
        <v>395</v>
      </c>
      <c t="s" s="7" r="D113">
        <v>396</v>
      </c>
      <c s="7" r="E113"/>
      <c t="str" s="9" r="F113">
        <f>HYPERLINK("http://instagram.com/stephiez88","@stephiez88")</f>
        <v>@stephiez88</v>
      </c>
      <c s="8" r="G113"/>
      <c s="8" r="H113"/>
      <c s="8" r="I113"/>
      <c s="8" r="J113"/>
      <c s="8" r="K113"/>
      <c s="8" r="L113"/>
      <c s="8" r="M113"/>
      <c s="8" r="N113"/>
      <c s="8" r="O113"/>
      <c s="8" r="P113"/>
      <c s="8" r="Q113"/>
      <c s="8" r="R113"/>
      <c s="8" r="S113"/>
      <c s="8" r="T113"/>
      <c s="8" r="U113"/>
      <c s="8" r="V113"/>
      <c s="8" r="W113"/>
      <c s="8" r="X113"/>
      <c s="8" r="Y113"/>
      <c s="8" r="Z113"/>
      <c s="8" r="AA113"/>
    </row>
    <row r="114">
      <c t="s" s="7" r="A114">
        <v>397</v>
      </c>
      <c t="s" s="7" r="B114">
        <v>398</v>
      </c>
      <c t="s" s="7" r="C114">
        <v>399</v>
      </c>
      <c t="s" s="7" r="D114">
        <v>400</v>
      </c>
      <c t="str" s="9" r="E114">
        <f>HYPERLINK("https://twitter.com/DougRob70","@dougrob70")</f>
        <v>@dougrob70</v>
      </c>
      <c t="str" s="9" r="F114">
        <f>HYPERLINK("http://instagram.com/dougrob70","@dougrob70")</f>
        <v>@dougrob70</v>
      </c>
      <c t="s" s="7" r="G114">
        <v>401</v>
      </c>
      <c t="s" s="7" r="H114">
        <v>402</v>
      </c>
      <c s="8" r="I114"/>
      <c s="8" r="J114"/>
      <c s="8" r="K114"/>
      <c s="8" r="L114"/>
      <c s="8" r="M114"/>
      <c s="8" r="N114"/>
      <c s="8" r="O114"/>
      <c s="8" r="P114"/>
      <c s="8" r="Q114"/>
      <c s="8" r="R114"/>
      <c s="8" r="S114"/>
      <c s="8" r="T114"/>
      <c s="8" r="U114"/>
      <c s="8" r="V114"/>
      <c s="8" r="W114"/>
      <c s="8" r="X114"/>
      <c s="8" r="Y114"/>
      <c s="8" r="Z114"/>
      <c s="8" r="AA114"/>
    </row>
    <row r="115">
      <c t="s" s="7" r="A115">
        <v>403</v>
      </c>
      <c t="s" s="7" r="B115">
        <v>404</v>
      </c>
      <c t="s" s="7" r="C115">
        <v>405</v>
      </c>
      <c s="8" r="D115"/>
      <c s="8" r="E115"/>
      <c s="8" r="F115"/>
      <c s="8" r="G115"/>
      <c s="8" r="H115"/>
      <c s="8" r="I115"/>
      <c s="8" r="J115"/>
      <c s="8" r="K115"/>
      <c s="8" r="L115"/>
      <c s="8" r="M115"/>
      <c s="8" r="N115"/>
      <c s="8" r="O115"/>
      <c s="8" r="P115"/>
      <c s="8" r="Q115"/>
      <c s="8" r="R115"/>
      <c s="8" r="S115"/>
      <c s="8" r="T115"/>
      <c s="8" r="U115"/>
      <c s="8" r="V115"/>
      <c s="8" r="W115"/>
      <c s="8" r="X115"/>
      <c s="8" r="Y115"/>
      <c s="8" r="Z115"/>
      <c s="8" r="AA115"/>
    </row>
    <row r="116">
      <c t="s" s="7" r="A116">
        <v>406</v>
      </c>
      <c t="s" s="7" r="B116">
        <v>407</v>
      </c>
      <c t="s" s="7" r="C116">
        <v>408</v>
      </c>
      <c s="8" r="D116"/>
      <c s="8" r="E116"/>
      <c s="8" r="F116"/>
      <c s="8" r="G116"/>
      <c s="8" r="H116"/>
      <c s="8" r="I116"/>
      <c s="8" r="J116"/>
      <c s="8" r="K116"/>
      <c s="8" r="L116"/>
      <c s="8" r="M116"/>
      <c s="8" r="N116"/>
      <c s="8" r="O116"/>
      <c s="8" r="P116"/>
      <c s="8" r="Q116"/>
      <c s="8" r="R116"/>
      <c s="8" r="S116"/>
      <c s="8" r="T116"/>
      <c s="8" r="U116"/>
      <c s="8" r="V116"/>
      <c s="8" r="W116"/>
      <c s="8" r="X116"/>
      <c s="8" r="Y116"/>
      <c s="8" r="Z116"/>
      <c s="8" r="AA116"/>
    </row>
    <row r="117">
      <c t="s" s="7" r="A117">
        <v>409</v>
      </c>
      <c t="s" s="7" r="B117">
        <v>410</v>
      </c>
      <c t="s" s="7" r="C117">
        <v>411</v>
      </c>
      <c t="s" s="7" r="D117">
        <v>412</v>
      </c>
      <c t="str" s="9" r="E117">
        <f>HYPERLINK("https://twitter.com/JMessick82","@JMessick82")</f>
        <v>@JMessick82</v>
      </c>
      <c t="str" s="9" r="F117">
        <f>HYPERLINK("http://instagram.com/JMessick82","@JMessick82")</f>
        <v>@JMessick82</v>
      </c>
      <c t="s" s="7" r="G117">
        <v>413</v>
      </c>
      <c s="8" r="H117"/>
      <c s="8" r="I117"/>
      <c s="8" r="J117"/>
      <c s="8" r="K117"/>
      <c s="8" r="L117"/>
      <c s="8" r="M117"/>
      <c s="8" r="N117"/>
      <c s="8" r="O117"/>
      <c s="8" r="P117"/>
      <c s="8" r="Q117"/>
      <c s="8" r="R117"/>
      <c s="8" r="S117"/>
      <c s="8" r="T117"/>
      <c s="8" r="U117"/>
      <c s="8" r="V117"/>
      <c s="8" r="W117"/>
      <c s="8" r="X117"/>
      <c s="8" r="Y117"/>
      <c s="8" r="Z117"/>
      <c s="8" r="AA117"/>
    </row>
    <row r="118">
      <c t="s" s="7" r="A118">
        <v>414</v>
      </c>
      <c t="s" s="7" r="B118">
        <v>415</v>
      </c>
      <c t="s" s="7" r="C118">
        <v>416</v>
      </c>
      <c s="8" r="D118"/>
      <c s="8" r="E118"/>
      <c s="8" r="F118"/>
      <c s="8" r="G118"/>
      <c s="8" r="H118"/>
      <c s="8" r="I118"/>
      <c s="8" r="J118"/>
      <c s="8" r="K118"/>
      <c s="8" r="L118"/>
      <c s="8" r="M118"/>
      <c s="8" r="N118"/>
      <c s="8" r="O118"/>
      <c s="8" r="P118"/>
      <c s="8" r="Q118"/>
      <c s="8" r="R118"/>
      <c s="8" r="S118"/>
      <c s="8" r="T118"/>
      <c s="8" r="U118"/>
      <c s="8" r="V118"/>
      <c s="8" r="W118"/>
      <c s="8" r="X118"/>
      <c s="8" r="Y118"/>
      <c s="8" r="Z118"/>
      <c s="8" r="AA118"/>
    </row>
    <row r="119">
      <c t="s" s="7" r="A119">
        <v>417</v>
      </c>
      <c t="s" s="7" r="B119">
        <v>418</v>
      </c>
      <c t="s" s="7" r="C119">
        <v>419</v>
      </c>
      <c s="8" r="D119"/>
      <c s="8" r="E119"/>
      <c s="8" r="F119"/>
      <c s="8" r="G119"/>
      <c s="8" r="H119"/>
      <c s="8" r="I119"/>
      <c s="8" r="J119"/>
      <c s="8" r="K119"/>
      <c s="8" r="L119"/>
      <c s="8" r="M119"/>
      <c s="8" r="N119"/>
      <c s="8" r="O119"/>
      <c s="8" r="P119"/>
      <c s="8" r="Q119"/>
      <c s="8" r="R119"/>
      <c s="8" r="S119"/>
      <c s="8" r="T119"/>
      <c s="8" r="U119"/>
      <c s="8" r="V119"/>
      <c s="8" r="W119"/>
      <c s="8" r="X119"/>
      <c s="8" r="Y119"/>
      <c s="8" r="Z119"/>
      <c s="8" r="AA119"/>
    </row>
    <row r="120">
      <c t="s" s="7" r="A120">
        <v>420</v>
      </c>
      <c t="s" s="7" r="B120">
        <v>421</v>
      </c>
      <c t="s" s="7" r="C120">
        <v>422</v>
      </c>
      <c s="8" r="D120"/>
      <c s="8" r="E120"/>
      <c s="8" r="F120"/>
      <c s="8" r="G120"/>
      <c s="8" r="H120"/>
      <c s="8" r="I120"/>
      <c s="8" r="J120"/>
      <c s="8" r="K120"/>
      <c s="8" r="L120"/>
      <c s="8" r="M120"/>
      <c s="8" r="N120"/>
      <c s="8" r="O120"/>
      <c s="8" r="P120"/>
      <c s="8" r="Q120"/>
      <c s="8" r="R120"/>
      <c s="8" r="S120"/>
      <c s="8" r="T120"/>
      <c s="8" r="U120"/>
      <c s="8" r="V120"/>
      <c s="8" r="W120"/>
      <c s="8" r="X120"/>
      <c s="8" r="Y120"/>
      <c s="8" r="Z120"/>
      <c s="8" r="AA120"/>
    </row>
    <row r="121">
      <c t="s" s="7" r="A121">
        <v>423</v>
      </c>
      <c t="s" s="7" r="B121">
        <v>424</v>
      </c>
      <c t="s" s="7" r="C121">
        <v>425</v>
      </c>
      <c t="s" s="7" r="D121">
        <v>426</v>
      </c>
      <c t="str" s="9" r="E121">
        <f>HYPERLINK("https://twitter.com/Br3akpad","@Br3akpad")</f>
        <v>@Br3akpad</v>
      </c>
      <c t="str" s="9" r="F121">
        <f>HYPERLINK("http://instagram.com/br3akpad","@Br3akpad")</f>
        <v>@Br3akpad</v>
      </c>
      <c t="s" s="7" r="G121">
        <v>427</v>
      </c>
      <c s="8" r="H121"/>
      <c s="8" r="I121"/>
      <c s="8" r="J121"/>
      <c s="8" r="K121"/>
      <c s="8" r="L121"/>
      <c s="8" r="M121"/>
      <c s="8" r="N121"/>
      <c s="8" r="O121"/>
      <c s="8" r="P121"/>
      <c s="8" r="Q121"/>
      <c s="8" r="R121"/>
      <c s="8" r="S121"/>
      <c s="8" r="T121"/>
      <c s="8" r="U121"/>
      <c s="8" r="V121"/>
      <c s="8" r="W121"/>
      <c s="8" r="X121"/>
      <c s="8" r="Y121"/>
      <c s="8" r="Z121"/>
      <c s="8" r="AA121"/>
    </row>
    <row r="122">
      <c t="s" s="7" r="A122">
        <v>428</v>
      </c>
      <c t="s" s="7" r="B122">
        <v>429</v>
      </c>
      <c t="s" s="7" r="C122">
        <v>430</v>
      </c>
      <c t="s" s="7" r="D122">
        <v>431</v>
      </c>
      <c t="str" s="9" r="E122">
        <f>HYPERLINK("https://twitter.com/deelove55","@deelove55")</f>
        <v>@deelove55</v>
      </c>
      <c s="8" r="F122"/>
      <c t="s" s="7" r="G122">
        <v>432</v>
      </c>
      <c t="s" s="7" r="H122">
        <v>433</v>
      </c>
      <c s="8" r="I122"/>
      <c s="8" r="J122"/>
      <c s="8" r="K122"/>
      <c s="8" r="L122"/>
      <c s="8" r="M122"/>
      <c s="8" r="N122"/>
      <c s="8" r="O122"/>
      <c s="8" r="P122"/>
      <c s="8" r="Q122"/>
      <c s="8" r="R122"/>
      <c s="8" r="S122"/>
      <c s="8" r="T122"/>
      <c s="8" r="U122"/>
      <c s="8" r="V122"/>
      <c s="8" r="W122"/>
      <c s="8" r="X122"/>
      <c s="8" r="Y122"/>
      <c s="8" r="Z122"/>
      <c s="8" r="AA122"/>
    </row>
    <row r="123">
      <c t="s" s="7" r="A123">
        <v>434</v>
      </c>
      <c t="s" s="7" r="B123">
        <v>435</v>
      </c>
      <c t="s" s="7" r="C123">
        <v>436</v>
      </c>
      <c t="s" s="7" r="D123">
        <v>437</v>
      </c>
      <c t="str" s="9" r="E123">
        <f>HYPERLINK("https://twitter.com/jdscully","@jdscully")</f>
        <v>@jdscully</v>
      </c>
      <c t="str" s="9" r="F123">
        <f>HYPERLINK("http://instagram.com/jdscully95","@jdscully95")</f>
        <v>@jdscully95</v>
      </c>
      <c s="8" r="G123"/>
      <c s="8" r="H123"/>
      <c s="8" r="I123"/>
      <c s="8" r="J123"/>
      <c s="8" r="K123"/>
      <c s="8" r="L123"/>
      <c s="8" r="M123"/>
      <c s="8" r="N123"/>
      <c s="8" r="O123"/>
      <c s="8" r="P123"/>
      <c s="8" r="Q123"/>
      <c s="8" r="R123"/>
      <c s="8" r="S123"/>
      <c s="8" r="T123"/>
      <c s="8" r="U123"/>
      <c s="8" r="V123"/>
      <c s="8" r="W123"/>
      <c s="8" r="X123"/>
      <c s="8" r="Y123"/>
      <c s="8" r="Z123"/>
      <c s="8" r="AA123"/>
    </row>
    <row r="124">
      <c t="s" s="7" r="A124">
        <v>438</v>
      </c>
      <c t="s" s="7" r="B124">
        <v>439</v>
      </c>
      <c t="s" s="7" r="C124">
        <v>440</v>
      </c>
      <c t="s" s="7" r="D124">
        <v>441</v>
      </c>
      <c s="8" r="E124"/>
      <c t="str" s="9" r="F124">
        <f>HYPERLINK("http://instagram.com/brett_mcdaniel","@brett_mcdaniel")</f>
        <v>@brett_mcdaniel</v>
      </c>
      <c t="s" s="7" r="G124">
        <v>442</v>
      </c>
      <c s="8" r="H124"/>
      <c s="8" r="I124"/>
      <c s="8" r="J124"/>
      <c s="8" r="K124"/>
      <c s="8" r="L124"/>
      <c s="8" r="M124"/>
      <c s="8" r="N124"/>
      <c s="8" r="O124"/>
      <c s="8" r="P124"/>
      <c s="8" r="Q124"/>
      <c s="8" r="R124"/>
      <c s="8" r="S124"/>
      <c s="8" r="T124"/>
      <c s="8" r="U124"/>
      <c s="8" r="V124"/>
      <c s="8" r="W124"/>
      <c s="8" r="X124"/>
      <c s="8" r="Y124"/>
      <c s="8" r="Z124"/>
      <c s="8" r="AA124"/>
    </row>
    <row r="125">
      <c t="s" s="7" r="A125">
        <v>443</v>
      </c>
      <c t="s" s="7" r="B125">
        <v>444</v>
      </c>
      <c t="s" s="7" r="C125">
        <v>445</v>
      </c>
      <c s="8" r="D125"/>
      <c s="8" r="E125"/>
      <c s="8" r="F125"/>
      <c s="8" r="G125"/>
      <c s="8" r="H125"/>
      <c s="8" r="I125"/>
      <c s="8" r="J125"/>
      <c s="8" r="K125"/>
      <c s="8" r="L125"/>
      <c s="8" r="M125"/>
      <c s="8" r="N125"/>
      <c s="8" r="O125"/>
      <c s="8" r="P125"/>
      <c s="8" r="Q125"/>
      <c s="8" r="R125"/>
      <c s="8" r="S125"/>
      <c s="8" r="T125"/>
      <c s="8" r="U125"/>
      <c s="8" r="V125"/>
      <c s="8" r="W125"/>
      <c s="8" r="X125"/>
      <c s="8" r="Y125"/>
      <c s="8" r="Z125"/>
      <c s="8" r="AA125"/>
    </row>
    <row r="126">
      <c t="s" s="7" r="A126">
        <v>446</v>
      </c>
      <c t="s" s="7" r="B126">
        <v>447</v>
      </c>
      <c t="s" s="7" r="C126">
        <v>448</v>
      </c>
      <c s="8" r="D126"/>
      <c s="8" r="E126"/>
      <c s="8" r="F126"/>
      <c s="8" r="G126"/>
      <c s="8" r="H126"/>
      <c s="8" r="I126"/>
      <c s="8" r="J126"/>
      <c s="8" r="K126"/>
      <c s="8" r="L126"/>
      <c s="8" r="M126"/>
      <c s="8" r="N126"/>
      <c s="8" r="O126"/>
      <c s="8" r="P126"/>
      <c s="8" r="Q126"/>
      <c s="8" r="R126"/>
      <c s="8" r="S126"/>
      <c s="8" r="T126"/>
      <c s="8" r="U126"/>
      <c s="8" r="V126"/>
      <c s="8" r="W126"/>
      <c s="8" r="X126"/>
      <c s="8" r="Y126"/>
      <c s="8" r="Z126"/>
      <c s="8" r="AA126"/>
    </row>
    <row r="127">
      <c t="s" s="7" r="A127">
        <v>449</v>
      </c>
      <c t="s" s="7" r="B127">
        <v>450</v>
      </c>
      <c t="s" s="7" r="C127">
        <v>451</v>
      </c>
      <c s="8" r="D127"/>
      <c s="8" r="E127"/>
      <c s="8" r="F127"/>
      <c s="8" r="G127"/>
      <c s="8" r="H127"/>
      <c s="8" r="I127"/>
      <c s="8" r="J127"/>
      <c s="8" r="K127"/>
      <c s="8" r="L127"/>
      <c s="8" r="M127"/>
      <c s="8" r="N127"/>
      <c s="8" r="O127"/>
      <c s="8" r="P127"/>
      <c s="8" r="Q127"/>
      <c s="8" r="R127"/>
      <c s="8" r="S127"/>
      <c s="8" r="T127"/>
      <c s="8" r="U127"/>
      <c s="8" r="V127"/>
      <c s="8" r="W127"/>
      <c s="8" r="X127"/>
      <c s="8" r="Y127"/>
      <c s="8" r="Z127"/>
      <c s="8" r="AA127"/>
    </row>
    <row r="128">
      <c t="s" s="7" r="A128">
        <v>452</v>
      </c>
      <c t="s" s="7" r="B128">
        <v>453</v>
      </c>
      <c t="s" s="7" r="C128">
        <v>454</v>
      </c>
      <c s="8" r="D128"/>
      <c s="8" r="E128"/>
      <c s="8" r="F128"/>
      <c s="8" r="G128"/>
      <c s="8" r="H128"/>
      <c s="8" r="I128"/>
      <c s="8" r="J128"/>
      <c s="8" r="K128"/>
      <c s="8" r="L128"/>
      <c s="8" r="M128"/>
      <c s="8" r="N128"/>
      <c s="8" r="O128"/>
      <c s="8" r="P128"/>
      <c s="8" r="Q128"/>
      <c s="8" r="R128"/>
      <c s="8" r="S128"/>
      <c s="8" r="T128"/>
      <c s="8" r="U128"/>
      <c s="8" r="V128"/>
      <c s="8" r="W128"/>
      <c s="8" r="X128"/>
      <c s="8" r="Y128"/>
      <c s="8" r="Z128"/>
      <c s="8" r="AA128"/>
    </row>
    <row r="129">
      <c t="s" s="7" r="A129">
        <v>455</v>
      </c>
      <c t="s" s="7" r="B129">
        <v>456</v>
      </c>
      <c t="s" s="7" r="C129">
        <v>457</v>
      </c>
      <c s="8" r="D129"/>
      <c s="8" r="E129"/>
      <c s="8" r="F129"/>
      <c s="8" r="G129"/>
      <c s="8" r="H129"/>
      <c s="8" r="I129"/>
      <c s="8" r="J129"/>
      <c s="8" r="K129"/>
      <c s="8" r="L129"/>
      <c s="8" r="M129"/>
      <c s="8" r="N129"/>
      <c s="8" r="O129"/>
      <c s="8" r="P129"/>
      <c s="8" r="Q129"/>
      <c s="8" r="R129"/>
      <c s="8" r="S129"/>
      <c s="8" r="T129"/>
      <c s="8" r="U129"/>
      <c s="8" r="V129"/>
      <c s="8" r="W129"/>
      <c s="8" r="X129"/>
      <c s="8" r="Y129"/>
      <c s="8" r="Z129"/>
      <c s="8" r="AA129"/>
    </row>
    <row r="130">
      <c t="s" s="7" r="A130">
        <v>458</v>
      </c>
      <c t="s" s="7" r="B130">
        <v>459</v>
      </c>
      <c t="s" s="7" r="C130">
        <v>460</v>
      </c>
      <c s="8" r="D130"/>
      <c s="8" r="E130"/>
      <c s="8" r="F130"/>
      <c s="8" r="G130"/>
      <c s="8" r="H130"/>
      <c s="8" r="I130"/>
      <c s="8" r="J130"/>
      <c s="8" r="K130"/>
      <c s="8" r="L130"/>
      <c s="8" r="M130"/>
      <c s="8" r="N130"/>
      <c s="8" r="O130"/>
      <c s="8" r="P130"/>
      <c s="8" r="Q130"/>
      <c s="8" r="R130"/>
      <c s="8" r="S130"/>
      <c s="8" r="T130"/>
      <c s="8" r="U130"/>
      <c s="8" r="V130"/>
      <c s="8" r="W130"/>
      <c s="8" r="X130"/>
      <c s="8" r="Y130"/>
      <c s="8" r="Z130"/>
      <c s="8" r="AA130"/>
    </row>
    <row r="131">
      <c t="s" s="7" r="A131">
        <v>461</v>
      </c>
      <c t="s" s="7" r="B131">
        <v>462</v>
      </c>
      <c t="s" s="7" r="C131">
        <v>463</v>
      </c>
      <c s="8" r="D131"/>
      <c s="8" r="E131"/>
      <c s="8" r="F131"/>
      <c s="8" r="G131"/>
      <c s="8" r="H131"/>
      <c s="8" r="I131"/>
      <c s="8" r="J131"/>
      <c s="8" r="K131"/>
      <c s="8" r="L131"/>
      <c s="8" r="M131"/>
      <c s="8" r="N131"/>
      <c s="8" r="O131"/>
      <c s="8" r="P131"/>
      <c s="8" r="Q131"/>
      <c s="8" r="R131"/>
      <c s="8" r="S131"/>
      <c s="8" r="T131"/>
      <c s="8" r="U131"/>
      <c s="8" r="V131"/>
      <c s="8" r="W131"/>
      <c s="8" r="X131"/>
      <c s="8" r="Y131"/>
      <c s="8" r="Z131"/>
      <c s="8" r="AA131"/>
    </row>
    <row r="132">
      <c t="s" s="7" r="A132">
        <v>464</v>
      </c>
      <c t="s" s="7" r="B132">
        <v>465</v>
      </c>
      <c t="s" s="7" r="C132">
        <v>466</v>
      </c>
      <c t="s" s="7" r="D132">
        <v>467</v>
      </c>
      <c t="str" s="9" r="E132">
        <f>HYPERLINK("https://twitter.com/19mitchs88","@19mitchs88")</f>
        <v>@19mitchs88</v>
      </c>
      <c t="str" s="9" r="F132">
        <f>HYPERLINK("http://instagram.com/19mitchs88","@19mitchs88")</f>
        <v>@19mitchs88</v>
      </c>
      <c s="8" r="G132"/>
      <c s="8" r="H132"/>
      <c s="8" r="I132"/>
      <c s="8" r="J132"/>
      <c s="8" r="K132"/>
      <c s="8" r="L132"/>
      <c s="8" r="M132"/>
      <c s="8" r="N132"/>
      <c s="8" r="O132"/>
      <c s="8" r="P132"/>
      <c s="8" r="Q132"/>
      <c s="8" r="R132"/>
      <c s="8" r="S132"/>
      <c s="8" r="T132"/>
      <c s="8" r="U132"/>
      <c s="8" r="V132"/>
      <c s="8" r="W132"/>
      <c s="8" r="X132"/>
      <c s="8" r="Y132"/>
      <c s="8" r="Z132"/>
      <c s="8" r="AA132"/>
    </row>
    <row r="133">
      <c t="s" s="7" r="A133">
        <v>468</v>
      </c>
      <c t="s" s="7" r="B133">
        <v>469</v>
      </c>
      <c t="s" s="7" r="C133">
        <v>470</v>
      </c>
      <c s="8" r="D133"/>
      <c s="8" r="E133"/>
      <c s="8" r="F133"/>
      <c s="8" r="G133"/>
      <c s="8" r="H133"/>
      <c s="8" r="I133"/>
      <c s="8" r="J133"/>
      <c s="8" r="K133"/>
      <c s="8" r="L133"/>
      <c s="8" r="M133"/>
      <c s="8" r="N133"/>
      <c s="8" r="O133"/>
      <c s="8" r="P133"/>
      <c s="8" r="Q133"/>
      <c s="8" r="R133"/>
      <c s="8" r="S133"/>
      <c s="8" r="T133"/>
      <c s="8" r="U133"/>
      <c s="8" r="V133"/>
      <c s="8" r="W133"/>
      <c s="8" r="X133"/>
      <c s="8" r="Y133"/>
      <c s="8" r="Z133"/>
      <c s="8" r="AA133"/>
    </row>
    <row r="134">
      <c t="s" s="7" r="A134">
        <v>471</v>
      </c>
      <c t="s" s="7" r="B134">
        <v>472</v>
      </c>
      <c t="s" s="7" r="C134">
        <v>473</v>
      </c>
      <c s="8" r="D134"/>
      <c s="8" r="E134"/>
      <c s="8" r="F134"/>
      <c s="8" r="G134"/>
      <c s="8" r="H134"/>
      <c s="8" r="I134"/>
      <c s="8" r="J134"/>
      <c s="8" r="K134"/>
      <c s="8" r="L134"/>
      <c s="8" r="M134"/>
      <c s="8" r="N134"/>
      <c s="8" r="O134"/>
      <c s="8" r="P134"/>
      <c s="8" r="Q134"/>
      <c s="8" r="R134"/>
      <c s="8" r="S134"/>
      <c s="8" r="T134"/>
      <c s="8" r="U134"/>
      <c s="8" r="V134"/>
      <c s="8" r="W134"/>
      <c s="8" r="X134"/>
      <c s="8" r="Y134"/>
      <c s="8" r="Z134"/>
      <c s="8" r="AA134"/>
    </row>
    <row r="135">
      <c t="s" s="7" r="A135">
        <v>474</v>
      </c>
      <c t="s" s="7" r="B135">
        <v>475</v>
      </c>
      <c t="s" s="7" r="C135">
        <v>476</v>
      </c>
      <c s="8" r="D135"/>
      <c s="8" r="E135"/>
      <c s="8" r="F135"/>
      <c s="8" r="G135"/>
      <c s="8" r="H135"/>
      <c s="8" r="I135"/>
      <c s="8" r="J135"/>
      <c s="8" r="K135"/>
      <c s="8" r="L135"/>
      <c s="8" r="M135"/>
      <c s="8" r="N135"/>
      <c s="8" r="O135"/>
      <c s="8" r="P135"/>
      <c s="8" r="Q135"/>
      <c s="8" r="R135"/>
      <c s="8" r="S135"/>
      <c s="8" r="T135"/>
      <c s="8" r="U135"/>
      <c s="8" r="V135"/>
      <c s="8" r="W135"/>
      <c s="8" r="X135"/>
      <c s="8" r="Y135"/>
      <c s="8" r="Z135"/>
      <c s="8" r="AA135"/>
    </row>
    <row r="136">
      <c t="s" s="7" r="A136">
        <v>477</v>
      </c>
      <c t="s" s="7" r="B136">
        <v>478</v>
      </c>
      <c t="s" s="7" r="C136">
        <v>479</v>
      </c>
      <c t="s" s="7" r="D136">
        <v>480</v>
      </c>
      <c t="str" s="9" r="E136">
        <f>HYPERLINK("https://twitter.com/gregdevo","@gregdevo")</f>
        <v>@gregdevo</v>
      </c>
      <c t="str" s="9" r="F136">
        <f>HYPERLINK("http://instagram.com/gregdevo","@gregdevo")</f>
        <v>@gregdevo</v>
      </c>
      <c s="8" r="G136"/>
      <c s="8" r="H136"/>
      <c s="8" r="I136"/>
      <c s="8" r="J136"/>
      <c s="8" r="K136"/>
      <c s="8" r="L136"/>
      <c s="8" r="M136"/>
      <c s="8" r="N136"/>
      <c s="8" r="O136"/>
      <c s="8" r="P136"/>
      <c s="8" r="Q136"/>
      <c s="8" r="R136"/>
      <c s="8" r="S136"/>
      <c s="8" r="T136"/>
      <c s="8" r="U136"/>
      <c s="8" r="V136"/>
      <c s="8" r="W136"/>
      <c s="8" r="X136"/>
      <c s="8" r="Y136"/>
      <c s="8" r="Z136"/>
      <c s="8" r="AA136"/>
    </row>
    <row r="137">
      <c t="s" s="7" r="A137">
        <v>481</v>
      </c>
      <c t="s" s="7" r="B137">
        <v>482</v>
      </c>
      <c t="s" s="7" r="C137">
        <v>483</v>
      </c>
      <c t="s" s="7" r="D137">
        <v>484</v>
      </c>
      <c t="str" s="9" r="E137">
        <f>HYPERLINK("https://twitter.com/SteveTheMan_tm","@stevetheman_tm")</f>
        <v>@stevetheman_tm</v>
      </c>
      <c t="str" s="9" r="F137">
        <f>HYPERLINK("http://instagram.com/stevetheman_tm","@stevetheman_tm")</f>
        <v>@stevetheman_tm</v>
      </c>
      <c t="s" s="7" r="G137">
        <v>485</v>
      </c>
      <c s="8" r="H137"/>
      <c s="8" r="I137"/>
      <c s="8" r="J137"/>
      <c s="8" r="K137"/>
      <c s="8" r="L137"/>
      <c s="8" r="M137"/>
      <c s="8" r="N137"/>
      <c s="8" r="O137"/>
      <c s="8" r="P137"/>
      <c s="8" r="Q137"/>
      <c s="8" r="R137"/>
      <c s="8" r="S137"/>
      <c s="8" r="T137"/>
      <c s="8" r="U137"/>
      <c s="8" r="V137"/>
      <c s="8" r="W137"/>
      <c s="8" r="X137"/>
      <c s="8" r="Y137"/>
      <c s="8" r="Z137"/>
      <c s="8" r="AA137"/>
    </row>
    <row r="138">
      <c t="s" s="7" r="A138">
        <v>486</v>
      </c>
      <c t="s" s="7" r="B138">
        <v>487</v>
      </c>
      <c t="s" s="7" r="C138">
        <v>488</v>
      </c>
      <c s="8" r="D138"/>
      <c s="8" r="E138"/>
      <c s="8" r="F138"/>
      <c s="8" r="G138"/>
      <c s="8" r="H138"/>
      <c s="8" r="I138"/>
      <c s="8" r="J138"/>
      <c s="8" r="K138"/>
      <c s="8" r="L138"/>
      <c s="8" r="M138"/>
      <c s="8" r="N138"/>
      <c s="8" r="O138"/>
      <c s="8" r="P138"/>
      <c s="8" r="Q138"/>
      <c s="8" r="R138"/>
      <c s="8" r="S138"/>
      <c s="8" r="T138"/>
      <c s="8" r="U138"/>
      <c s="8" r="V138"/>
      <c s="8" r="W138"/>
      <c s="8" r="X138"/>
      <c s="8" r="Y138"/>
      <c s="8" r="Z138"/>
      <c s="8" r="AA138"/>
    </row>
    <row r="139">
      <c t="s" s="7" r="A139">
        <v>489</v>
      </c>
      <c t="s" s="7" r="B139">
        <v>490</v>
      </c>
      <c t="s" s="7" r="C139">
        <v>491</v>
      </c>
      <c t="s" s="7" r="D139">
        <v>492</v>
      </c>
      <c t="str" s="9" r="E139">
        <f>HYPERLINK("https://twitter.com/KEITHMODE","@keithmode")</f>
        <v>@keithmode</v>
      </c>
      <c t="str" s="9" r="F139">
        <f>HYPERLINK("http://instagram.com/keithmode","@keithmode")</f>
        <v>@keithmode</v>
      </c>
      <c t="s" s="7" r="G139">
        <v>493</v>
      </c>
      <c s="8" r="H139"/>
      <c s="8" r="I139"/>
      <c s="8" r="J139"/>
      <c s="8" r="K139"/>
      <c s="8" r="L139"/>
      <c s="8" r="M139"/>
      <c s="8" r="N139"/>
      <c s="8" r="O139"/>
      <c s="8" r="P139"/>
      <c s="8" r="Q139"/>
      <c s="8" r="R139"/>
      <c s="8" r="S139"/>
      <c s="8" r="T139"/>
      <c s="8" r="U139"/>
      <c s="8" r="V139"/>
      <c s="8" r="W139"/>
      <c s="8" r="X139"/>
      <c s="8" r="Y139"/>
      <c s="8" r="Z139"/>
      <c s="8" r="AA139"/>
    </row>
    <row r="140">
      <c t="s" s="7" r="A140">
        <v>494</v>
      </c>
      <c t="s" s="7" r="B140">
        <v>495</v>
      </c>
      <c t="s" s="7" r="C140">
        <v>496</v>
      </c>
      <c s="8" r="D140"/>
      <c s="8" r="E140"/>
      <c s="8" r="F140"/>
      <c s="8" r="G140"/>
      <c s="8" r="H140"/>
      <c s="8" r="I140"/>
      <c s="8" r="J140"/>
      <c s="8" r="K140"/>
      <c s="8" r="L140"/>
      <c s="8" r="M140"/>
      <c s="8" r="N140"/>
      <c s="8" r="O140"/>
      <c s="8" r="P140"/>
      <c s="8" r="Q140"/>
      <c s="8" r="R140"/>
      <c s="8" r="S140"/>
      <c s="8" r="T140"/>
      <c s="8" r="U140"/>
      <c s="8" r="V140"/>
      <c s="8" r="W140"/>
      <c s="8" r="X140"/>
      <c s="8" r="Y140"/>
      <c s="8" r="Z140"/>
      <c s="8" r="AA140"/>
    </row>
    <row r="141">
      <c t="s" s="7" r="A141">
        <v>497</v>
      </c>
      <c t="s" s="7" r="B141">
        <v>498</v>
      </c>
      <c t="s" s="7" r="C141">
        <v>499</v>
      </c>
      <c t="s" s="7" r="D141">
        <v>500</v>
      </c>
      <c t="str" s="9" r="E141">
        <f>HYPERLINK("https://twitter.com/donk3900","@donk3900")</f>
        <v>@donk3900</v>
      </c>
      <c t="str" s="9" r="F141">
        <f>HYPERLINK("http://instagram.com/tjh133","@TJH133")</f>
        <v>@TJH133</v>
      </c>
      <c s="8" r="G141"/>
      <c s="8" r="H141"/>
      <c s="8" r="I141"/>
      <c s="8" r="J141"/>
      <c s="8" r="K141"/>
      <c s="8" r="L141"/>
      <c s="8" r="M141"/>
      <c s="8" r="N141"/>
      <c s="8" r="O141"/>
      <c s="8" r="P141"/>
      <c s="8" r="Q141"/>
      <c s="8" r="R141"/>
      <c s="8" r="S141"/>
      <c s="8" r="T141"/>
      <c s="8" r="U141"/>
      <c s="8" r="V141"/>
      <c s="8" r="W141"/>
      <c s="8" r="X141"/>
      <c s="8" r="Y141"/>
      <c s="8" r="Z141"/>
      <c s="8" r="AA141"/>
    </row>
    <row r="142">
      <c t="s" s="7" r="A142">
        <v>501</v>
      </c>
      <c t="s" s="7" r="B142">
        <v>502</v>
      </c>
      <c t="s" s="7" r="C142">
        <v>503</v>
      </c>
      <c s="8" r="D142"/>
      <c s="8" r="E142"/>
      <c s="8" r="F142"/>
      <c s="8" r="G142"/>
      <c s="8" r="H142"/>
      <c s="8" r="I142"/>
      <c s="8" r="J142"/>
      <c s="8" r="K142"/>
      <c s="8" r="L142"/>
      <c s="8" r="M142"/>
      <c s="8" r="N142"/>
      <c s="8" r="O142"/>
      <c s="8" r="P142"/>
      <c s="8" r="Q142"/>
      <c s="8" r="R142"/>
      <c s="8" r="S142"/>
      <c s="8" r="T142"/>
      <c s="8" r="U142"/>
      <c s="8" r="V142"/>
      <c s="8" r="W142"/>
      <c s="8" r="X142"/>
      <c s="8" r="Y142"/>
      <c s="8" r="Z142"/>
      <c s="8" r="AA142"/>
    </row>
    <row r="143">
      <c t="s" s="7" r="A143">
        <v>504</v>
      </c>
      <c t="s" s="7" r="B143">
        <v>505</v>
      </c>
      <c s="7" r="C143"/>
      <c t="s" s="7" r="D143">
        <v>506</v>
      </c>
      <c t="str" s="9" r="E143">
        <f>HYPERLINK("https://twitter.com/thegooser","@thegooser")</f>
        <v>@thegooser</v>
      </c>
      <c t="str" s="9" r="F143">
        <f>HYPERLINK("http://instagram.com/thegooser1","@thegooser1")</f>
        <v>@thegooser1</v>
      </c>
      <c t="s" s="7" r="G143">
        <v>507</v>
      </c>
      <c t="s" s="7" r="H143">
        <v>508</v>
      </c>
      <c s="8" r="I143"/>
      <c s="8" r="J143"/>
      <c s="8" r="K143"/>
      <c s="8" r="L143"/>
      <c s="8" r="M143"/>
      <c s="8" r="N143"/>
      <c s="8" r="O143"/>
      <c s="8" r="P143"/>
      <c s="8" r="Q143"/>
      <c s="8" r="R143"/>
      <c s="8" r="S143"/>
      <c s="8" r="T143"/>
      <c s="8" r="U143"/>
      <c s="8" r="V143"/>
      <c s="8" r="W143"/>
      <c s="8" r="X143"/>
      <c s="8" r="Y143"/>
      <c s="8" r="Z143"/>
      <c s="8" r="AA143"/>
    </row>
    <row r="144">
      <c t="s" s="7" r="A144">
        <v>509</v>
      </c>
      <c t="s" s="7" r="B144">
        <v>510</v>
      </c>
      <c t="s" s="7" r="C144">
        <v>511</v>
      </c>
      <c t="s" s="7" r="D144">
        <v>512</v>
      </c>
      <c t="str" s="9" r="E144">
        <f>HYPERLINK("https://twitter.com/Richybang","@richybang")</f>
        <v>@richybang</v>
      </c>
      <c t="str" s="9" r="F144">
        <f>HYPERLINK("http://instagram.com/richybang","@richybang")</f>
        <v>@richybang</v>
      </c>
      <c t="s" s="7" r="G144">
        <v>513</v>
      </c>
      <c s="8" r="H144"/>
      <c s="8" r="I144"/>
      <c s="8" r="J144"/>
      <c s="8" r="K144"/>
      <c s="8" r="L144"/>
      <c s="8" r="M144"/>
      <c s="8" r="N144"/>
      <c s="8" r="O144"/>
      <c s="8" r="P144"/>
      <c s="8" r="Q144"/>
      <c s="8" r="R144"/>
      <c s="8" r="S144"/>
      <c s="8" r="T144"/>
      <c s="8" r="U144"/>
      <c s="8" r="V144"/>
      <c s="8" r="W144"/>
      <c s="8" r="X144"/>
      <c s="8" r="Y144"/>
      <c s="8" r="Z144"/>
      <c s="8" r="AA144"/>
    </row>
    <row r="145">
      <c t="s" s="7" r="A145">
        <v>514</v>
      </c>
      <c t="s" s="7" r="B145">
        <v>515</v>
      </c>
      <c t="s" s="7" r="C145">
        <v>516</v>
      </c>
      <c s="8" r="D145"/>
      <c s="8" r="E145"/>
      <c s="8" r="F145"/>
      <c s="8" r="G145"/>
      <c s="8" r="H145"/>
      <c s="8" r="I145"/>
      <c s="8" r="J145"/>
      <c s="8" r="K145"/>
      <c s="8" r="L145"/>
      <c s="8" r="M145"/>
      <c s="8" r="N145"/>
      <c s="8" r="O145"/>
      <c s="8" r="P145"/>
      <c s="8" r="Q145"/>
      <c s="8" r="R145"/>
      <c s="8" r="S145"/>
      <c s="8" r="T145"/>
      <c s="8" r="U145"/>
      <c s="8" r="V145"/>
      <c s="8" r="W145"/>
      <c s="8" r="X145"/>
      <c s="8" r="Y145"/>
      <c s="8" r="Z145"/>
      <c s="8" r="AA145"/>
    </row>
    <row r="146">
      <c t="s" s="7" r="A146">
        <v>517</v>
      </c>
      <c t="s" s="7" r="B146">
        <v>518</v>
      </c>
      <c t="s" s="7" r="C146">
        <v>519</v>
      </c>
      <c s="8" r="D146"/>
      <c s="8" r="E146"/>
      <c s="8" r="F146"/>
      <c s="8" r="G146"/>
      <c s="8" r="H146"/>
      <c s="8" r="I146"/>
      <c s="8" r="J146"/>
      <c s="8" r="K146"/>
      <c s="8" r="L146"/>
      <c s="8" r="M146"/>
      <c s="8" r="N146"/>
      <c s="8" r="O146"/>
      <c s="8" r="P146"/>
      <c s="8" r="Q146"/>
      <c s="8" r="R146"/>
      <c s="8" r="S146"/>
      <c s="8" r="T146"/>
      <c s="8" r="U146"/>
      <c s="8" r="V146"/>
      <c s="8" r="W146"/>
      <c s="8" r="X146"/>
      <c s="8" r="Y146"/>
      <c s="8" r="Z146"/>
      <c s="8" r="AA146"/>
    </row>
    <row r="147">
      <c t="s" s="7" r="A147">
        <v>520</v>
      </c>
      <c t="s" s="7" r="B147">
        <v>521</v>
      </c>
      <c t="s" s="7" r="C147">
        <v>522</v>
      </c>
      <c s="8" r="D147"/>
      <c s="8" r="E147"/>
      <c s="8" r="F147"/>
      <c s="8" r="G147"/>
      <c s="8" r="H147"/>
      <c s="8" r="I147"/>
      <c s="8" r="J147"/>
      <c s="8" r="K147"/>
      <c s="8" r="L147"/>
      <c s="8" r="M147"/>
      <c s="8" r="N147"/>
      <c s="8" r="O147"/>
      <c s="8" r="P147"/>
      <c s="8" r="Q147"/>
      <c s="8" r="R147"/>
      <c s="8" r="S147"/>
      <c s="8" r="T147"/>
      <c s="8" r="U147"/>
      <c s="8" r="V147"/>
      <c s="8" r="W147"/>
      <c s="8" r="X147"/>
      <c s="8" r="Y147"/>
      <c s="8" r="Z147"/>
      <c s="8" r="AA147"/>
    </row>
    <row r="148">
      <c t="s" s="7" r="A148">
        <v>523</v>
      </c>
      <c t="s" s="7" r="B148">
        <v>524</v>
      </c>
      <c t="s" s="7" r="C148">
        <v>525</v>
      </c>
      <c t="s" s="7" r="D148">
        <v>526</v>
      </c>
      <c t="str" s="9" r="E148">
        <f>HYPERLINK("https://twitter.com/Dutch_RDS","@Dutch_RDS")</f>
        <v>@Dutch_RDS</v>
      </c>
      <c t="str" s="9" r="F148">
        <f>HYPERLINK("http://instagram.com/dutch_rds","@Dutch_RDS")</f>
        <v>@Dutch_RDS</v>
      </c>
      <c t="s" s="7" r="G148">
        <v>527</v>
      </c>
      <c t="s" s="7" r="H148">
        <v>528</v>
      </c>
      <c s="8" r="I148"/>
      <c s="8" r="J148"/>
      <c s="8" r="K148"/>
      <c s="8" r="L148"/>
      <c s="8" r="M148"/>
      <c s="8" r="N148"/>
      <c s="8" r="O148"/>
      <c s="8" r="P148"/>
      <c s="8" r="Q148"/>
      <c s="8" r="R148"/>
      <c s="8" r="S148"/>
      <c s="8" r="T148"/>
      <c s="8" r="U148"/>
      <c s="8" r="V148"/>
      <c s="8" r="W148"/>
      <c s="8" r="X148"/>
      <c s="8" r="Y148"/>
      <c s="8" r="Z148"/>
      <c s="8" r="AA148"/>
    </row>
    <row r="149">
      <c t="s" s="7" r="A149">
        <v>529</v>
      </c>
      <c t="s" s="7" r="B149">
        <v>530</v>
      </c>
      <c t="s" s="7" r="C149">
        <v>531</v>
      </c>
      <c s="8" r="D149"/>
      <c s="8" r="E149"/>
      <c s="8" r="F149"/>
      <c s="8" r="G149"/>
      <c s="8" r="H149"/>
      <c s="8" r="I149"/>
      <c s="8" r="J149"/>
      <c s="8" r="K149"/>
      <c s="8" r="L149"/>
      <c s="8" r="M149"/>
      <c s="8" r="N149"/>
      <c s="8" r="O149"/>
      <c s="8" r="P149"/>
      <c s="8" r="Q149"/>
      <c s="8" r="R149"/>
      <c s="8" r="S149"/>
      <c s="8" r="T149"/>
      <c s="8" r="U149"/>
      <c s="8" r="V149"/>
      <c s="8" r="W149"/>
      <c s="8" r="X149"/>
      <c s="8" r="Y149"/>
      <c s="8" r="Z149"/>
      <c s="8" r="AA149"/>
    </row>
    <row r="150">
      <c t="s" s="7" r="A150">
        <v>532</v>
      </c>
      <c t="s" s="7" r="B150">
        <v>533</v>
      </c>
      <c t="s" s="7" r="C150">
        <v>534</v>
      </c>
      <c t="s" s="7" r="D150">
        <v>535</v>
      </c>
      <c t="str" s="9" r="E150">
        <f>HYPERLINK("https://twitter.com/jizzay_klitt","@jizzay_klitt")</f>
        <v>@jizzay_klitt</v>
      </c>
      <c t="str" s="9" r="F150">
        <f>HYPERLINK("http://instagram.com/jizzay_klitt","@jizzay_klitt")</f>
        <v>@jizzay_klitt</v>
      </c>
      <c s="8" r="G150"/>
      <c s="8" r="H150"/>
      <c s="8" r="I150"/>
      <c s="8" r="J150"/>
      <c s="8" r="K150"/>
      <c s="8" r="L150"/>
      <c s="8" r="M150"/>
      <c s="8" r="N150"/>
      <c s="8" r="O150"/>
      <c s="8" r="P150"/>
      <c s="8" r="Q150"/>
      <c s="8" r="R150"/>
      <c s="8" r="S150"/>
      <c s="8" r="T150"/>
      <c s="8" r="U150"/>
      <c s="8" r="V150"/>
      <c s="8" r="W150"/>
      <c s="8" r="X150"/>
      <c s="8" r="Y150"/>
      <c s="8" r="Z150"/>
      <c s="8" r="AA150"/>
    </row>
    <row r="151">
      <c t="s" s="7" r="A151">
        <v>536</v>
      </c>
      <c t="s" s="7" r="B151">
        <v>537</v>
      </c>
      <c t="s" s="7" r="C151">
        <v>538</v>
      </c>
      <c s="8" r="D151"/>
      <c s="8" r="E151"/>
      <c s="8" r="F151"/>
      <c s="8" r="G151"/>
      <c s="8" r="H151"/>
      <c s="8" r="I151"/>
      <c s="8" r="J151"/>
      <c s="8" r="K151"/>
      <c s="8" r="L151"/>
      <c s="8" r="M151"/>
      <c s="8" r="N151"/>
      <c s="8" r="O151"/>
      <c s="8" r="P151"/>
      <c s="8" r="Q151"/>
      <c s="8" r="R151"/>
      <c s="8" r="S151"/>
      <c s="8" r="T151"/>
      <c s="8" r="U151"/>
      <c s="8" r="V151"/>
      <c s="8" r="W151"/>
      <c s="8" r="X151"/>
      <c s="8" r="Y151"/>
      <c s="8" r="Z151"/>
      <c s="8" r="AA151"/>
    </row>
    <row r="152">
      <c t="s" s="7" r="A152">
        <v>539</v>
      </c>
      <c t="s" s="7" r="B152">
        <v>540</v>
      </c>
      <c t="s" s="7" r="C152">
        <v>541</v>
      </c>
      <c s="8" r="D152"/>
      <c s="8" r="E152"/>
      <c s="8" r="F152"/>
      <c s="8" r="G152"/>
      <c s="8" r="H152"/>
      <c s="8" r="I152"/>
      <c s="8" r="J152"/>
      <c s="8" r="K152"/>
      <c s="8" r="L152"/>
      <c s="8" r="M152"/>
      <c s="8" r="N152"/>
      <c s="8" r="O152"/>
      <c s="8" r="P152"/>
      <c s="8" r="Q152"/>
      <c s="8" r="R152"/>
      <c s="8" r="S152"/>
      <c s="8" r="T152"/>
      <c s="8" r="U152"/>
      <c s="8" r="V152"/>
      <c s="8" r="W152"/>
      <c s="8" r="X152"/>
      <c s="8" r="Y152"/>
      <c s="8" r="Z152"/>
      <c s="8" r="AA152"/>
    </row>
    <row r="153">
      <c t="s" s="7" r="A153">
        <v>542</v>
      </c>
      <c t="s" s="7" r="B153">
        <v>543</v>
      </c>
      <c s="8" r="C153"/>
      <c s="8" r="D153"/>
      <c s="8" r="E153"/>
      <c s="8" r="F153"/>
      <c s="8" r="G153"/>
      <c s="8" r="H153"/>
      <c s="8" r="I153"/>
      <c s="8" r="J153"/>
      <c s="8" r="K153"/>
      <c s="8" r="L153"/>
      <c s="8" r="M153"/>
      <c s="8" r="N153"/>
      <c s="8" r="O153"/>
      <c s="8" r="P153"/>
      <c s="8" r="Q153"/>
      <c s="8" r="R153"/>
      <c s="8" r="S153"/>
      <c s="8" r="T153"/>
      <c s="8" r="U153"/>
      <c s="8" r="V153"/>
      <c s="8" r="W153"/>
      <c s="8" r="X153"/>
      <c s="8" r="Y153"/>
      <c s="8" r="Z153"/>
      <c s="8" r="AA153"/>
    </row>
    <row r="154">
      <c t="s" s="7" r="A154">
        <v>544</v>
      </c>
      <c t="s" s="7" r="B154">
        <v>545</v>
      </c>
      <c t="s" s="7" r="C154">
        <v>546</v>
      </c>
      <c s="8" r="D154"/>
      <c s="8" r="E154"/>
      <c s="8" r="F154"/>
      <c s="8" r="G154"/>
      <c s="8" r="H154"/>
      <c s="8" r="I154"/>
      <c s="8" r="J154"/>
      <c s="8" r="K154"/>
      <c s="8" r="L154"/>
      <c s="8" r="M154"/>
      <c s="8" r="N154"/>
      <c s="8" r="O154"/>
      <c s="8" r="P154"/>
      <c s="8" r="Q154"/>
      <c s="8" r="R154"/>
      <c s="8" r="S154"/>
      <c s="8" r="T154"/>
      <c s="8" r="U154"/>
      <c s="8" r="V154"/>
      <c s="8" r="W154"/>
      <c s="8" r="X154"/>
      <c s="8" r="Y154"/>
      <c s="8" r="Z154"/>
      <c s="8" r="AA154"/>
    </row>
    <row r="155">
      <c t="s" s="7" r="A155">
        <v>547</v>
      </c>
      <c t="s" s="7" r="B155">
        <v>548</v>
      </c>
      <c t="s" s="7" r="C155">
        <v>549</v>
      </c>
      <c s="8" r="D155"/>
      <c s="8" r="E155"/>
      <c s="8" r="F155"/>
      <c s="8" r="G155"/>
      <c s="8" r="H155"/>
      <c s="8" r="I155"/>
      <c s="8" r="J155"/>
      <c s="8" r="K155"/>
      <c s="8" r="L155"/>
      <c s="8" r="M155"/>
      <c s="8" r="N155"/>
      <c s="8" r="O155"/>
      <c s="8" r="P155"/>
      <c s="8" r="Q155"/>
      <c s="8" r="R155"/>
      <c s="8" r="S155"/>
      <c s="8" r="T155"/>
      <c s="8" r="U155"/>
      <c s="8" r="V155"/>
      <c s="8" r="W155"/>
      <c s="8" r="X155"/>
      <c s="8" r="Y155"/>
      <c s="8" r="Z155"/>
      <c s="8" r="AA155"/>
    </row>
    <row r="156">
      <c t="s" s="7" r="A156">
        <v>550</v>
      </c>
      <c t="s" s="7" r="B156">
        <v>551</v>
      </c>
      <c t="s" s="7" r="C156">
        <v>552</v>
      </c>
      <c s="8" r="D156"/>
      <c s="8" r="E156"/>
      <c s="8" r="F156"/>
      <c s="8" r="G156"/>
      <c s="8" r="H156"/>
      <c s="8" r="I156"/>
      <c s="8" r="J156"/>
      <c s="8" r="K156"/>
      <c s="8" r="L156"/>
      <c s="8" r="M156"/>
      <c s="8" r="N156"/>
      <c s="8" r="O156"/>
      <c s="8" r="P156"/>
      <c s="8" r="Q156"/>
      <c s="8" r="R156"/>
      <c s="8" r="S156"/>
      <c s="8" r="T156"/>
      <c s="8" r="U156"/>
      <c s="8" r="V156"/>
      <c s="8" r="W156"/>
      <c s="8" r="X156"/>
      <c s="8" r="Y156"/>
      <c s="8" r="Z156"/>
      <c s="8" r="AA156"/>
    </row>
    <row r="157">
      <c t="s" s="7" r="A157">
        <v>553</v>
      </c>
      <c t="s" s="7" r="B157">
        <v>554</v>
      </c>
      <c t="s" s="7" r="C157">
        <v>555</v>
      </c>
      <c t="s" s="7" r="D157">
        <v>556</v>
      </c>
      <c s="8" r="E157"/>
      <c t="str" s="9" r="F157">
        <f>HYPERLINK("http://instagram.com/elephant_dick","@elephant_dick")</f>
        <v>@elephant_dick</v>
      </c>
      <c s="8" r="G157"/>
      <c s="8" r="H157"/>
      <c s="8" r="I157"/>
      <c s="8" r="J157"/>
      <c s="8" r="K157"/>
      <c s="8" r="L157"/>
      <c s="8" r="M157"/>
      <c s="8" r="N157"/>
      <c s="8" r="O157"/>
      <c s="8" r="P157"/>
      <c s="8" r="Q157"/>
      <c s="8" r="R157"/>
      <c s="8" r="S157"/>
      <c s="8" r="T157"/>
      <c s="8" r="U157"/>
      <c s="8" r="V157"/>
      <c s="8" r="W157"/>
      <c s="8" r="X157"/>
      <c s="8" r="Y157"/>
      <c s="8" r="Z157"/>
      <c s="8" r="AA157"/>
    </row>
    <row r="158">
      <c t="s" s="7" r="A158">
        <v>557</v>
      </c>
      <c t="s" s="7" r="B158">
        <v>558</v>
      </c>
      <c t="s" s="7" r="C158">
        <v>559</v>
      </c>
      <c t="s" s="7" r="D158">
        <v>560</v>
      </c>
      <c t="str" s="9" r="E158">
        <f>HYPERLINK("https://twitter.com/anthony__knight","@anthony__knight")</f>
        <v>@anthony__knight</v>
      </c>
      <c t="str" s="9" r="F158">
        <f>HYPERLINK("http://instagram.com/rooster240","@rooster240")</f>
        <v>@rooster240</v>
      </c>
      <c s="8" r="G158"/>
      <c s="8" r="H158"/>
      <c s="8" r="I158"/>
      <c s="8" r="J158"/>
      <c s="8" r="K158"/>
      <c s="8" r="L158"/>
      <c s="8" r="M158"/>
      <c s="8" r="N158"/>
      <c s="8" r="O158"/>
      <c s="8" r="P158"/>
      <c s="8" r="Q158"/>
      <c s="8" r="R158"/>
      <c s="8" r="S158"/>
      <c s="8" r="T158"/>
      <c s="8" r="U158"/>
      <c s="8" r="V158"/>
      <c s="8" r="W158"/>
      <c s="8" r="X158"/>
      <c s="8" r="Y158"/>
      <c s="8" r="Z158"/>
      <c s="8" r="AA158"/>
    </row>
    <row r="159">
      <c t="s" s="7" r="A159">
        <v>561</v>
      </c>
      <c t="s" s="7" r="B159">
        <v>562</v>
      </c>
      <c t="s" s="7" r="C159">
        <v>563</v>
      </c>
      <c s="8" r="D159"/>
      <c s="8" r="E159"/>
      <c s="8" r="F159"/>
      <c s="8" r="G159"/>
      <c s="8" r="H159"/>
      <c s="8" r="I159"/>
      <c s="8" r="J159"/>
      <c s="8" r="K159"/>
      <c s="8" r="L159"/>
      <c s="8" r="M159"/>
      <c s="8" r="N159"/>
      <c s="8" r="O159"/>
      <c s="8" r="P159"/>
      <c s="8" r="Q159"/>
      <c s="8" r="R159"/>
      <c s="8" r="S159"/>
      <c s="8" r="T159"/>
      <c s="8" r="U159"/>
      <c s="8" r="V159"/>
      <c s="8" r="W159"/>
      <c s="8" r="X159"/>
      <c s="8" r="Y159"/>
      <c s="8" r="Z159"/>
      <c s="8" r="AA159"/>
    </row>
    <row r="160">
      <c t="s" s="7" r="A160">
        <v>564</v>
      </c>
      <c t="s" s="7" r="B160">
        <v>565</v>
      </c>
      <c t="s" s="7" r="C160">
        <v>566</v>
      </c>
      <c s="8" r="D160"/>
      <c s="8" r="E160"/>
      <c s="8" r="F160"/>
      <c s="8" r="G160"/>
      <c s="8" r="H160"/>
      <c s="8" r="I160"/>
      <c s="8" r="J160"/>
      <c s="8" r="K160"/>
      <c s="8" r="L160"/>
      <c s="8" r="M160"/>
      <c s="8" r="N160"/>
      <c s="8" r="O160"/>
      <c s="8" r="P160"/>
      <c s="8" r="Q160"/>
      <c s="8" r="R160"/>
      <c s="8" r="S160"/>
      <c s="8" r="T160"/>
      <c s="8" r="U160"/>
      <c s="8" r="V160"/>
      <c s="8" r="W160"/>
      <c s="8" r="X160"/>
      <c s="8" r="Y160"/>
      <c s="8" r="Z160"/>
      <c s="8" r="AA160"/>
    </row>
    <row r="161">
      <c t="s" s="7" r="A161">
        <v>567</v>
      </c>
      <c t="s" s="7" r="B161">
        <v>568</v>
      </c>
      <c t="s" s="7" r="C161">
        <v>569</v>
      </c>
      <c s="8" r="D161"/>
      <c s="8" r="E161"/>
      <c s="8" r="F161"/>
      <c s="8" r="G161"/>
      <c s="8" r="H161"/>
      <c s="8" r="I161"/>
      <c s="8" r="J161"/>
      <c s="8" r="K161"/>
      <c s="8" r="L161"/>
      <c s="8" r="M161"/>
      <c s="8" r="N161"/>
      <c s="8" r="O161"/>
      <c s="8" r="P161"/>
      <c s="8" r="Q161"/>
      <c s="8" r="R161"/>
      <c s="8" r="S161"/>
      <c s="8" r="T161"/>
      <c s="8" r="U161"/>
      <c s="8" r="V161"/>
      <c s="8" r="W161"/>
      <c s="8" r="X161"/>
      <c s="8" r="Y161"/>
      <c s="8" r="Z161"/>
      <c s="8" r="AA161"/>
    </row>
    <row r="162">
      <c t="s" s="7" r="A162">
        <v>570</v>
      </c>
      <c t="s" s="7" r="B162">
        <v>571</v>
      </c>
      <c t="s" s="7" r="C162">
        <v>572</v>
      </c>
      <c t="s" s="7" r="D162">
        <v>573</v>
      </c>
      <c t="str" s="9" r="E162">
        <f>HYPERLINK("https://twitter.com/ihatecumfat","@ihatecumfat")</f>
        <v>@ihatecumfat</v>
      </c>
      <c s="8" r="F162"/>
      <c t="s" s="7" r="G162">
        <v>574</v>
      </c>
      <c s="8" r="H162"/>
      <c s="8" r="I162"/>
      <c s="8" r="J162"/>
      <c s="8" r="K162"/>
      <c s="8" r="L162"/>
      <c s="8" r="M162"/>
      <c s="8" r="N162"/>
      <c s="8" r="O162"/>
      <c s="8" r="P162"/>
      <c s="8" r="Q162"/>
      <c s="8" r="R162"/>
      <c s="8" r="S162"/>
      <c s="8" r="T162"/>
      <c s="8" r="U162"/>
      <c s="8" r="V162"/>
      <c s="8" r="W162"/>
      <c s="8" r="X162"/>
      <c s="8" r="Y162"/>
      <c s="8" r="Z162"/>
      <c s="8" r="AA162"/>
    </row>
    <row r="163">
      <c t="s" s="7" r="A163">
        <v>575</v>
      </c>
      <c t="s" s="7" r="B163">
        <v>576</v>
      </c>
      <c t="s" s="7" r="C163">
        <v>577</v>
      </c>
      <c s="8" r="D163"/>
      <c s="8" r="E163"/>
      <c s="8" r="F163"/>
      <c s="8" r="G163"/>
      <c s="8" r="H163"/>
      <c s="8" r="I163"/>
      <c s="8" r="J163"/>
      <c s="8" r="K163"/>
      <c s="8" r="L163"/>
      <c s="8" r="M163"/>
      <c s="8" r="N163"/>
      <c s="8" r="O163"/>
      <c s="8" r="P163"/>
      <c s="8" r="Q163"/>
      <c s="8" r="R163"/>
      <c s="8" r="S163"/>
      <c s="8" r="T163"/>
      <c s="8" r="U163"/>
      <c s="8" r="V163"/>
      <c s="8" r="W163"/>
      <c s="8" r="X163"/>
      <c s="8" r="Y163"/>
      <c s="8" r="Z163"/>
      <c s="8" r="AA163"/>
    </row>
    <row r="164">
      <c t="s" s="7" r="A164">
        <v>578</v>
      </c>
      <c t="s" s="7" r="B164">
        <v>579</v>
      </c>
      <c t="s" s="7" r="C164">
        <v>580</v>
      </c>
      <c s="8" r="D164"/>
      <c s="8" r="E164"/>
      <c s="8" r="F164"/>
      <c s="8" r="G164"/>
      <c s="8" r="H164"/>
      <c s="8" r="I164"/>
      <c s="8" r="J164"/>
      <c s="8" r="K164"/>
      <c s="8" r="L164"/>
      <c s="8" r="M164"/>
      <c s="8" r="N164"/>
      <c s="8" r="O164"/>
      <c s="8" r="P164"/>
      <c s="8" r="Q164"/>
      <c s="8" r="R164"/>
      <c s="8" r="S164"/>
      <c s="8" r="T164"/>
      <c s="8" r="U164"/>
      <c s="8" r="V164"/>
      <c s="8" r="W164"/>
      <c s="8" r="X164"/>
      <c s="8" r="Y164"/>
      <c s="8" r="Z164"/>
      <c s="8" r="AA164"/>
    </row>
    <row r="165">
      <c t="s" s="7" r="A165">
        <v>581</v>
      </c>
      <c t="s" s="7" r="B165">
        <v>582</v>
      </c>
      <c t="s" s="7" r="C165">
        <v>583</v>
      </c>
      <c s="8" r="D165"/>
      <c s="8" r="E165"/>
      <c s="8" r="F165"/>
      <c s="8" r="G165"/>
      <c s="8" r="H165"/>
      <c s="8" r="I165"/>
      <c s="8" r="J165"/>
      <c s="8" r="K165"/>
      <c s="8" r="L165"/>
      <c s="8" r="M165"/>
      <c s="8" r="N165"/>
      <c s="8" r="O165"/>
      <c s="8" r="P165"/>
      <c s="8" r="Q165"/>
      <c s="8" r="R165"/>
      <c s="8" r="S165"/>
      <c s="8" r="T165"/>
      <c s="8" r="U165"/>
      <c s="8" r="V165"/>
      <c s="8" r="W165"/>
      <c s="8" r="X165"/>
      <c s="8" r="Y165"/>
      <c s="8" r="Z165"/>
      <c s="8" r="AA165"/>
    </row>
    <row r="166">
      <c t="s" s="7" r="A166">
        <v>584</v>
      </c>
      <c t="s" s="7" r="B166">
        <v>585</v>
      </c>
      <c t="s" s="7" r="C166">
        <v>586</v>
      </c>
      <c s="8" r="D166"/>
      <c s="8" r="E166"/>
      <c s="8" r="F166"/>
      <c s="8" r="G166"/>
      <c s="8" r="H166"/>
      <c s="8" r="I166"/>
      <c s="8" r="J166"/>
      <c s="8" r="K166"/>
      <c s="8" r="L166"/>
      <c s="8" r="M166"/>
      <c s="8" r="N166"/>
      <c s="8" r="O166"/>
      <c s="8" r="P166"/>
      <c s="8" r="Q166"/>
      <c s="8" r="R166"/>
      <c s="8" r="S166"/>
      <c s="8" r="T166"/>
      <c s="8" r="U166"/>
      <c s="8" r="V166"/>
      <c s="8" r="W166"/>
      <c s="8" r="X166"/>
      <c s="8" r="Y166"/>
      <c s="8" r="Z166"/>
      <c s="8" r="AA166"/>
    </row>
    <row r="167">
      <c t="s" s="7" r="A167">
        <v>587</v>
      </c>
      <c t="s" s="7" r="B167">
        <v>588</v>
      </c>
      <c t="s" s="7" r="C167">
        <v>589</v>
      </c>
      <c s="8" r="D167"/>
      <c s="8" r="E167"/>
      <c s="8" r="F167"/>
      <c s="8" r="G167"/>
      <c s="8" r="H167"/>
      <c s="8" r="I167"/>
      <c s="8" r="J167"/>
      <c s="8" r="K167"/>
      <c s="8" r="L167"/>
      <c s="8" r="M167"/>
      <c s="8" r="N167"/>
      <c s="8" r="O167"/>
      <c s="8" r="P167"/>
      <c s="8" r="Q167"/>
      <c s="8" r="R167"/>
      <c s="8" r="S167"/>
      <c s="8" r="T167"/>
      <c s="8" r="U167"/>
      <c s="8" r="V167"/>
      <c s="8" r="W167"/>
      <c s="8" r="X167"/>
      <c s="8" r="Y167"/>
      <c s="8" r="Z167"/>
      <c s="8" r="AA167"/>
    </row>
    <row r="168">
      <c t="s" s="7" r="A168">
        <v>590</v>
      </c>
      <c t="s" s="7" r="B168">
        <v>591</v>
      </c>
      <c t="s" s="7" r="C168">
        <v>592</v>
      </c>
      <c t="s" s="7" r="D168">
        <v>593</v>
      </c>
      <c t="str" s="9" r="E168">
        <f>HYPERLINK("https://twitter.com/adamb2001","@adamb2001")</f>
        <v>@adamb2001</v>
      </c>
      <c t="str" s="9" r="F168">
        <f>HYPERLINK("http://instagram.com/adamb2001","@adamb2001")</f>
        <v>@adamb2001</v>
      </c>
      <c t="s" s="7" r="G168">
        <v>594</v>
      </c>
      <c s="8" r="H168"/>
      <c s="8" r="I168"/>
      <c s="8" r="J168"/>
      <c s="8" r="K168"/>
      <c s="8" r="L168"/>
      <c s="8" r="M168"/>
      <c s="8" r="N168"/>
      <c s="8" r="O168"/>
      <c s="8" r="P168"/>
      <c s="8" r="Q168"/>
      <c s="8" r="R168"/>
      <c s="8" r="S168"/>
      <c s="8" r="T168"/>
      <c s="8" r="U168"/>
      <c s="8" r="V168"/>
      <c s="8" r="W168"/>
      <c s="8" r="X168"/>
      <c s="8" r="Y168"/>
      <c s="8" r="Z168"/>
      <c s="8" r="AA168"/>
    </row>
    <row r="169">
      <c t="s" s="7" r="A169">
        <v>595</v>
      </c>
      <c t="s" s="7" r="B169">
        <v>596</v>
      </c>
      <c t="s" s="7" r="C169">
        <v>597</v>
      </c>
      <c s="8" r="D169"/>
      <c s="8" r="E169"/>
      <c s="8" r="F169"/>
      <c s="8" r="G169"/>
      <c s="8" r="H169"/>
      <c s="8" r="I169"/>
      <c s="8" r="J169"/>
      <c s="8" r="K169"/>
      <c s="8" r="L169"/>
      <c s="8" r="M169"/>
      <c s="8" r="N169"/>
      <c s="8" r="O169"/>
      <c s="8" r="P169"/>
      <c s="8" r="Q169"/>
      <c s="8" r="R169"/>
      <c s="8" r="S169"/>
      <c s="8" r="T169"/>
      <c s="8" r="U169"/>
      <c s="8" r="V169"/>
      <c s="8" r="W169"/>
      <c s="8" r="X169"/>
      <c s="8" r="Y169"/>
      <c s="8" r="Z169"/>
      <c s="8" r="AA169"/>
    </row>
    <row r="170">
      <c t="s" s="7" r="A170">
        <v>598</v>
      </c>
      <c t="s" s="7" r="B170">
        <v>599</v>
      </c>
      <c t="s" s="7" r="C170">
        <v>600</v>
      </c>
      <c s="8" r="D170"/>
      <c s="8" r="E170"/>
      <c s="8" r="F170"/>
      <c s="8" r="G170"/>
      <c s="8" r="H170"/>
      <c s="8" r="I170"/>
      <c s="8" r="J170"/>
      <c s="8" r="K170"/>
      <c s="8" r="L170"/>
      <c s="8" r="M170"/>
      <c s="8" r="N170"/>
      <c s="8" r="O170"/>
      <c s="8" r="P170"/>
      <c s="8" r="Q170"/>
      <c s="8" r="R170"/>
      <c s="8" r="S170"/>
      <c s="8" r="T170"/>
      <c s="8" r="U170"/>
      <c s="8" r="V170"/>
      <c s="8" r="W170"/>
      <c s="8" r="X170"/>
      <c s="8" r="Y170"/>
      <c s="8" r="Z170"/>
      <c s="8" r="AA170"/>
    </row>
    <row r="171">
      <c t="s" s="7" r="A171">
        <v>601</v>
      </c>
      <c t="s" s="7" r="B171">
        <v>602</v>
      </c>
      <c t="s" s="7" r="C171">
        <v>603</v>
      </c>
      <c s="8" r="D171"/>
      <c s="8" r="E171"/>
      <c s="8" r="F171"/>
      <c s="8" r="G171"/>
      <c s="8" r="H171"/>
      <c s="8" r="I171"/>
      <c s="8" r="J171"/>
      <c s="8" r="K171"/>
      <c s="8" r="L171"/>
      <c s="8" r="M171"/>
      <c s="8" r="N171"/>
      <c s="8" r="O171"/>
      <c s="8" r="P171"/>
      <c s="8" r="Q171"/>
      <c s="8" r="R171"/>
      <c s="8" r="S171"/>
      <c s="8" r="T171"/>
      <c s="8" r="U171"/>
      <c s="8" r="V171"/>
      <c s="8" r="W171"/>
      <c s="8" r="X171"/>
      <c s="8" r="Y171"/>
      <c s="8" r="Z171"/>
      <c s="8" r="AA171"/>
    </row>
    <row r="172">
      <c t="s" s="7" r="A172">
        <v>604</v>
      </c>
      <c t="s" s="7" r="B172">
        <v>605</v>
      </c>
      <c t="s" s="7" r="C172">
        <v>606</v>
      </c>
      <c t="s" s="7" r="D172">
        <v>607</v>
      </c>
      <c t="str" s="9" r="E172">
        <f>HYPERLINK("https://twitter.com/steelystevenson","@steelystevenson")</f>
        <v>@steelystevenson</v>
      </c>
      <c t="str" s="9" r="F172">
        <f>HYPERLINK("http://instagram.com/steelystevenson","@steelystevenson")</f>
        <v>@steelystevenson</v>
      </c>
      <c s="8" r="G172"/>
      <c s="8" r="H172"/>
      <c s="8" r="I172"/>
      <c s="8" r="J172"/>
      <c s="8" r="K172"/>
      <c s="8" r="L172"/>
      <c s="8" r="M172"/>
      <c s="8" r="N172"/>
      <c s="8" r="O172"/>
      <c s="8" r="P172"/>
      <c s="8" r="Q172"/>
      <c s="8" r="R172"/>
      <c s="8" r="S172"/>
      <c s="8" r="T172"/>
      <c s="8" r="U172"/>
      <c s="8" r="V172"/>
      <c s="8" r="W172"/>
      <c s="8" r="X172"/>
      <c s="8" r="Y172"/>
      <c s="8" r="Z172"/>
      <c s="8" r="AA172"/>
    </row>
    <row r="173">
      <c t="s" s="7" r="A173">
        <v>608</v>
      </c>
      <c t="s" s="7" r="B173">
        <v>609</v>
      </c>
      <c t="s" s="7" r="C173">
        <v>610</v>
      </c>
      <c s="8" r="D173"/>
      <c s="8" r="E173"/>
      <c s="8" r="F173"/>
      <c s="8" r="G173"/>
      <c s="8" r="H173"/>
      <c s="8" r="I173"/>
      <c s="8" r="J173"/>
      <c s="8" r="K173"/>
      <c s="8" r="L173"/>
      <c s="8" r="M173"/>
      <c s="8" r="N173"/>
      <c s="8" r="O173"/>
      <c s="8" r="P173"/>
      <c s="8" r="Q173"/>
      <c s="8" r="R173"/>
      <c s="8" r="S173"/>
      <c s="8" r="T173"/>
      <c s="8" r="U173"/>
      <c s="8" r="V173"/>
      <c s="8" r="W173"/>
      <c s="8" r="X173"/>
      <c s="8" r="Y173"/>
      <c s="8" r="Z173"/>
      <c s="8" r="AA173"/>
    </row>
    <row r="174">
      <c t="s" s="7" r="A174">
        <v>611</v>
      </c>
      <c t="s" s="7" r="B174">
        <v>612</v>
      </c>
      <c t="s" s="7" r="C174">
        <v>613</v>
      </c>
      <c s="8" r="D174"/>
      <c s="8" r="E174"/>
      <c s="8" r="F174"/>
      <c s="8" r="G174"/>
      <c s="8" r="H174"/>
      <c s="8" r="I174"/>
      <c s="8" r="J174"/>
      <c s="8" r="K174"/>
      <c s="8" r="L174"/>
      <c s="8" r="M174"/>
      <c s="8" r="N174"/>
      <c s="8" r="O174"/>
      <c s="8" r="P174"/>
      <c s="8" r="Q174"/>
      <c s="8" r="R174"/>
      <c s="8" r="S174"/>
      <c s="8" r="T174"/>
      <c s="8" r="U174"/>
      <c s="8" r="V174"/>
      <c s="8" r="W174"/>
      <c s="8" r="X174"/>
      <c s="8" r="Y174"/>
      <c s="8" r="Z174"/>
      <c s="8" r="AA174"/>
    </row>
    <row r="175">
      <c t="s" s="7" r="A175">
        <v>614</v>
      </c>
      <c t="s" s="7" r="B175">
        <v>615</v>
      </c>
      <c t="s" s="7" r="C175">
        <v>616</v>
      </c>
      <c s="8" r="D175"/>
      <c s="8" r="E175"/>
      <c s="8" r="F175"/>
      <c s="8" r="G175"/>
      <c s="8" r="H175"/>
      <c s="8" r="I175"/>
      <c s="8" r="J175"/>
      <c s="8" r="K175"/>
      <c s="8" r="L175"/>
      <c s="8" r="M175"/>
      <c s="8" r="N175"/>
      <c s="8" r="O175"/>
      <c s="8" r="P175"/>
      <c s="8" r="Q175"/>
      <c s="8" r="R175"/>
      <c s="8" r="S175"/>
      <c s="8" r="T175"/>
      <c s="8" r="U175"/>
      <c s="8" r="V175"/>
      <c s="8" r="W175"/>
      <c s="8" r="X175"/>
      <c s="8" r="Y175"/>
      <c s="8" r="Z175"/>
      <c s="8" r="AA175"/>
    </row>
    <row r="176">
      <c t="s" s="7" r="A176">
        <v>617</v>
      </c>
      <c t="s" s="7" r="B176">
        <v>618</v>
      </c>
      <c t="s" s="7" r="C176">
        <v>619</v>
      </c>
      <c s="8" r="D176"/>
      <c s="8" r="E176"/>
      <c s="8" r="F176"/>
      <c s="8" r="G176"/>
      <c s="8" r="H176"/>
      <c s="8" r="I176"/>
      <c s="8" r="J176"/>
      <c s="8" r="K176"/>
      <c s="8" r="L176"/>
      <c s="8" r="M176"/>
      <c s="8" r="N176"/>
      <c s="8" r="O176"/>
      <c s="8" r="P176"/>
      <c s="8" r="Q176"/>
      <c s="8" r="R176"/>
      <c s="8" r="S176"/>
      <c s="8" r="T176"/>
      <c s="8" r="U176"/>
      <c s="8" r="V176"/>
      <c s="8" r="W176"/>
      <c s="8" r="X176"/>
      <c s="8" r="Y176"/>
      <c s="8" r="Z176"/>
      <c s="8" r="AA176"/>
    </row>
    <row r="177">
      <c t="s" s="7" r="A177">
        <v>620</v>
      </c>
      <c t="s" s="7" r="B177">
        <v>621</v>
      </c>
      <c t="s" s="7" r="C177">
        <v>622</v>
      </c>
      <c s="8" r="D177"/>
      <c s="8" r="E177"/>
      <c s="8" r="F177"/>
      <c s="8" r="G177"/>
      <c s="8" r="H177"/>
      <c s="8" r="I177"/>
      <c s="8" r="J177"/>
      <c s="8" r="K177"/>
      <c s="8" r="L177"/>
      <c s="8" r="M177"/>
      <c s="8" r="N177"/>
      <c s="8" r="O177"/>
      <c s="8" r="P177"/>
      <c s="8" r="Q177"/>
      <c s="8" r="R177"/>
      <c s="8" r="S177"/>
      <c s="8" r="T177"/>
      <c s="8" r="U177"/>
      <c s="8" r="V177"/>
      <c s="8" r="W177"/>
      <c s="8" r="X177"/>
      <c s="8" r="Y177"/>
      <c s="8" r="Z177"/>
      <c s="8" r="AA177"/>
    </row>
    <row r="178">
      <c t="s" s="7" r="A178">
        <v>623</v>
      </c>
      <c t="s" s="7" r="B178">
        <v>624</v>
      </c>
      <c t="s" s="7" r="C178">
        <v>625</v>
      </c>
      <c s="8" r="D178"/>
      <c s="8" r="E178"/>
      <c s="8" r="F178"/>
      <c s="8" r="G178"/>
      <c s="8" r="H178"/>
      <c s="8" r="I178"/>
      <c s="8" r="J178"/>
      <c s="8" r="K178"/>
      <c s="8" r="L178"/>
      <c s="8" r="M178"/>
      <c s="8" r="N178"/>
      <c s="8" r="O178"/>
      <c s="8" r="P178"/>
      <c s="8" r="Q178"/>
      <c s="8" r="R178"/>
      <c s="8" r="S178"/>
      <c s="8" r="T178"/>
      <c s="8" r="U178"/>
      <c s="8" r="V178"/>
      <c s="8" r="W178"/>
      <c s="8" r="X178"/>
      <c s="8" r="Y178"/>
      <c s="8" r="Z178"/>
      <c s="8" r="AA178"/>
    </row>
    <row r="179">
      <c t="s" s="7" r="A179">
        <v>626</v>
      </c>
      <c t="s" s="7" r="B179">
        <v>627</v>
      </c>
      <c t="s" s="7" r="C179">
        <v>628</v>
      </c>
      <c s="8" r="D179"/>
      <c s="8" r="E179"/>
      <c s="8" r="F179"/>
      <c s="8" r="G179"/>
      <c s="8" r="H179"/>
      <c s="8" r="I179"/>
      <c s="8" r="J179"/>
      <c s="8" r="K179"/>
      <c s="8" r="L179"/>
      <c s="8" r="M179"/>
      <c s="8" r="N179"/>
      <c s="8" r="O179"/>
      <c s="8" r="P179"/>
      <c s="8" r="Q179"/>
      <c s="8" r="R179"/>
      <c s="8" r="S179"/>
      <c s="8" r="T179"/>
      <c s="8" r="U179"/>
      <c s="8" r="V179"/>
      <c s="8" r="W179"/>
      <c s="8" r="X179"/>
      <c s="8" r="Y179"/>
      <c s="8" r="Z179"/>
      <c s="8" r="AA179"/>
    </row>
    <row r="180">
      <c t="s" s="7" r="A180">
        <v>629</v>
      </c>
      <c t="s" s="7" r="B180">
        <v>630</v>
      </c>
      <c t="s" s="7" r="C180">
        <v>631</v>
      </c>
      <c s="8" r="D180"/>
      <c s="8" r="E180"/>
      <c s="8" r="F180"/>
      <c s="8" r="G180"/>
      <c s="8" r="H180"/>
      <c s="8" r="I180"/>
      <c s="8" r="J180"/>
      <c s="8" r="K180"/>
      <c s="8" r="L180"/>
      <c s="8" r="M180"/>
      <c s="8" r="N180"/>
      <c s="8" r="O180"/>
      <c s="8" r="P180"/>
      <c s="8" r="Q180"/>
      <c s="8" r="R180"/>
      <c s="8" r="S180"/>
      <c s="8" r="T180"/>
      <c s="8" r="U180"/>
      <c s="8" r="V180"/>
      <c s="8" r="W180"/>
      <c s="8" r="X180"/>
      <c s="8" r="Y180"/>
      <c s="8" r="Z180"/>
      <c s="8" r="AA180"/>
    </row>
    <row r="181">
      <c t="s" s="7" r="A181">
        <v>632</v>
      </c>
      <c t="s" s="7" r="B181">
        <v>633</v>
      </c>
      <c t="s" s="7" r="C181">
        <v>634</v>
      </c>
      <c s="8" r="D181"/>
      <c s="8" r="E181"/>
      <c s="8" r="F181"/>
      <c s="8" r="G181"/>
      <c s="8" r="H181"/>
      <c s="8" r="I181"/>
      <c s="8" r="J181"/>
      <c s="8" r="K181"/>
      <c s="8" r="L181"/>
      <c s="8" r="M181"/>
      <c s="8" r="N181"/>
      <c s="8" r="O181"/>
      <c s="8" r="P181"/>
      <c s="8" r="Q181"/>
      <c s="8" r="R181"/>
      <c s="8" r="S181"/>
      <c s="8" r="T181"/>
      <c s="8" r="U181"/>
      <c s="8" r="V181"/>
      <c s="8" r="W181"/>
      <c s="8" r="X181"/>
      <c s="8" r="Y181"/>
      <c s="8" r="Z181"/>
      <c s="8" r="AA181"/>
    </row>
    <row r="182">
      <c t="s" s="7" r="A182">
        <v>635</v>
      </c>
      <c t="s" s="7" r="B182">
        <v>636</v>
      </c>
      <c t="s" s="7" r="C182">
        <v>637</v>
      </c>
      <c s="8" r="D182"/>
      <c s="8" r="E182"/>
      <c s="8" r="F182"/>
      <c s="8" r="G182"/>
      <c s="8" r="H182"/>
      <c s="8" r="I182"/>
      <c s="8" r="J182"/>
      <c s="8" r="K182"/>
      <c s="8" r="L182"/>
      <c s="8" r="M182"/>
      <c s="8" r="N182"/>
      <c s="8" r="O182"/>
      <c s="8" r="P182"/>
      <c s="8" r="Q182"/>
      <c s="8" r="R182"/>
      <c s="8" r="S182"/>
      <c s="8" r="T182"/>
      <c s="8" r="U182"/>
      <c s="8" r="V182"/>
      <c s="8" r="W182"/>
      <c s="8" r="X182"/>
      <c s="8" r="Y182"/>
      <c s="8" r="Z182"/>
      <c s="8" r="AA182"/>
    </row>
    <row r="183">
      <c t="s" s="7" r="A183">
        <v>638</v>
      </c>
      <c t="s" s="7" r="B183">
        <v>639</v>
      </c>
      <c t="s" s="7" r="C183">
        <v>640</v>
      </c>
      <c s="8" r="D183"/>
      <c s="8" r="E183"/>
      <c s="8" r="F183"/>
      <c s="8" r="G183"/>
      <c s="8" r="H183"/>
      <c s="8" r="I183"/>
      <c s="8" r="J183"/>
      <c s="8" r="K183"/>
      <c s="8" r="L183"/>
      <c s="8" r="M183"/>
      <c s="8" r="N183"/>
      <c s="8" r="O183"/>
      <c s="8" r="P183"/>
      <c s="8" r="Q183"/>
      <c s="8" r="R183"/>
      <c s="8" r="S183"/>
      <c s="8" r="T183"/>
      <c s="8" r="U183"/>
      <c s="8" r="V183"/>
      <c s="8" r="W183"/>
      <c s="8" r="X183"/>
      <c s="8" r="Y183"/>
      <c s="8" r="Z183"/>
      <c s="8" r="AA183"/>
    </row>
    <row r="184">
      <c t="s" s="7" r="A184">
        <v>641</v>
      </c>
      <c t="s" s="7" r="B184">
        <v>642</v>
      </c>
      <c t="s" s="7" r="C184">
        <v>643</v>
      </c>
      <c t="s" s="7" r="D184">
        <v>644</v>
      </c>
      <c t="str" s="9" r="E184">
        <f>HYPERLINK("https://twitter.com/FonzoBlunt","@FonzoBlunt")</f>
        <v>@FonzoBlunt</v>
      </c>
      <c t="str" s="9" r="F184">
        <f>HYPERLINK("http://instagram.com/fonzoblunt","@FonzoBlunt")</f>
        <v>@FonzoBlunt</v>
      </c>
      <c t="s" s="7" r="G184">
        <v>645</v>
      </c>
      <c t="s" s="7" r="H184">
        <v>646</v>
      </c>
      <c t="s" s="7" r="I184">
        <v>647</v>
      </c>
      <c s="8" r="J184"/>
      <c s="8" r="K184"/>
      <c s="8" r="L184"/>
      <c s="8" r="M184"/>
      <c s="8" r="N184"/>
      <c s="8" r="O184"/>
      <c s="8" r="P184"/>
      <c s="8" r="Q184"/>
      <c s="8" r="R184"/>
      <c s="8" r="S184"/>
      <c s="8" r="T184"/>
      <c s="8" r="U184"/>
      <c s="8" r="V184"/>
      <c s="8" r="W184"/>
      <c s="8" r="X184"/>
      <c s="8" r="Y184"/>
      <c s="8" r="Z184"/>
      <c s="8" r="AA184"/>
    </row>
    <row r="185">
      <c t="s" s="7" r="A185">
        <v>648</v>
      </c>
      <c t="s" s="7" r="B185">
        <v>649</v>
      </c>
      <c t="s" s="7" r="C185">
        <v>650</v>
      </c>
      <c s="8" r="D185"/>
      <c s="8" r="E185"/>
      <c s="8" r="F185"/>
      <c s="8" r="G185"/>
      <c s="8" r="H185"/>
      <c s="8" r="I185"/>
      <c s="8" r="J185"/>
      <c s="8" r="K185"/>
      <c s="8" r="L185"/>
      <c s="8" r="M185"/>
      <c s="8" r="N185"/>
      <c s="8" r="O185"/>
      <c s="8" r="P185"/>
      <c s="8" r="Q185"/>
      <c s="8" r="R185"/>
      <c s="8" r="S185"/>
      <c s="8" r="T185"/>
      <c s="8" r="U185"/>
      <c s="8" r="V185"/>
      <c s="8" r="W185"/>
      <c s="8" r="X185"/>
      <c s="8" r="Y185"/>
      <c s="8" r="Z185"/>
      <c s="8" r="AA185"/>
    </row>
    <row r="186">
      <c t="s" s="7" r="A186">
        <v>651</v>
      </c>
      <c t="s" s="7" r="B186">
        <v>652</v>
      </c>
      <c t="s" s="7" r="C186">
        <v>653</v>
      </c>
      <c s="8" r="D186"/>
      <c s="8" r="E186"/>
      <c s="8" r="F186"/>
      <c s="8" r="G186"/>
      <c s="8" r="H186"/>
      <c s="8" r="I186"/>
      <c s="8" r="J186"/>
      <c s="8" r="K186"/>
      <c s="8" r="L186"/>
      <c s="8" r="M186"/>
      <c s="8" r="N186"/>
      <c s="8" r="O186"/>
      <c s="8" r="P186"/>
      <c s="8" r="Q186"/>
      <c s="8" r="R186"/>
      <c s="8" r="S186"/>
      <c s="8" r="T186"/>
      <c s="8" r="U186"/>
      <c s="8" r="V186"/>
      <c s="8" r="W186"/>
      <c s="8" r="X186"/>
      <c s="8" r="Y186"/>
      <c s="8" r="Z186"/>
      <c s="8" r="AA186"/>
    </row>
    <row r="187">
      <c t="s" s="7" r="A187">
        <v>654</v>
      </c>
      <c t="s" s="7" r="B187">
        <v>655</v>
      </c>
      <c t="s" s="7" r="C187">
        <v>656</v>
      </c>
      <c s="8" r="D187"/>
      <c s="8" r="E187"/>
      <c s="8" r="F187"/>
      <c s="8" r="G187"/>
      <c s="8" r="H187"/>
      <c s="8" r="I187"/>
      <c s="8" r="J187"/>
      <c s="8" r="K187"/>
      <c s="8" r="L187"/>
      <c s="8" r="M187"/>
      <c s="8" r="N187"/>
      <c s="8" r="O187"/>
      <c s="8" r="P187"/>
      <c s="8" r="Q187"/>
      <c s="8" r="R187"/>
      <c s="8" r="S187"/>
      <c s="8" r="T187"/>
      <c s="8" r="U187"/>
      <c s="8" r="V187"/>
      <c s="8" r="W187"/>
      <c s="8" r="X187"/>
      <c s="8" r="Y187"/>
      <c s="8" r="Z187"/>
      <c s="8" r="AA187"/>
    </row>
    <row r="188">
      <c t="s" s="7" r="A188">
        <v>657</v>
      </c>
      <c t="s" s="7" r="B188">
        <v>658</v>
      </c>
      <c t="s" s="7" r="C188">
        <v>659</v>
      </c>
      <c s="8" r="D188"/>
      <c s="8" r="E188"/>
      <c s="8" r="F188"/>
      <c s="8" r="G188"/>
      <c s="8" r="H188"/>
      <c s="8" r="I188"/>
      <c s="8" r="J188"/>
      <c s="8" r="K188"/>
      <c s="8" r="L188"/>
      <c s="8" r="M188"/>
      <c s="8" r="N188"/>
      <c s="8" r="O188"/>
      <c s="8" r="P188"/>
      <c s="8" r="Q188"/>
      <c s="8" r="R188"/>
      <c s="8" r="S188"/>
      <c s="8" r="T188"/>
      <c s="8" r="U188"/>
      <c s="8" r="V188"/>
      <c s="8" r="W188"/>
      <c s="8" r="X188"/>
      <c s="8" r="Y188"/>
      <c s="8" r="Z188"/>
      <c s="8" r="AA188"/>
    </row>
    <row r="189">
      <c t="s" s="7" r="A189">
        <v>660</v>
      </c>
      <c t="s" s="7" r="B189">
        <v>661</v>
      </c>
      <c t="s" s="7" r="C189">
        <v>662</v>
      </c>
      <c s="8" r="D189"/>
      <c s="8" r="E189"/>
      <c s="8" r="F189"/>
      <c s="8" r="G189"/>
      <c s="8" r="H189"/>
      <c s="8" r="I189"/>
      <c s="8" r="J189"/>
      <c s="8" r="K189"/>
      <c s="8" r="L189"/>
      <c s="8" r="M189"/>
      <c s="8" r="N189"/>
      <c s="8" r="O189"/>
      <c s="8" r="P189"/>
      <c s="8" r="Q189"/>
      <c s="8" r="R189"/>
      <c s="8" r="S189"/>
      <c s="8" r="T189"/>
      <c s="8" r="U189"/>
      <c s="8" r="V189"/>
      <c s="8" r="W189"/>
      <c s="8" r="X189"/>
      <c s="8" r="Y189"/>
      <c s="8" r="Z189"/>
      <c s="8" r="AA189"/>
    </row>
    <row r="190">
      <c t="s" s="7" r="A190">
        <v>663</v>
      </c>
      <c t="s" s="7" r="B190">
        <v>664</v>
      </c>
      <c s="8" r="C190"/>
      <c s="8" r="D190"/>
      <c s="8" r="E190"/>
      <c s="8" r="F190"/>
      <c s="8" r="G190"/>
      <c s="8" r="H190"/>
      <c s="8" r="I190"/>
      <c s="8" r="J190"/>
      <c s="8" r="K190"/>
      <c s="8" r="L190"/>
      <c s="8" r="M190"/>
      <c s="8" r="N190"/>
      <c s="8" r="O190"/>
      <c s="8" r="P190"/>
      <c s="8" r="Q190"/>
      <c s="8" r="R190"/>
      <c s="8" r="S190"/>
      <c s="8" r="T190"/>
      <c s="8" r="U190"/>
      <c s="8" r="V190"/>
      <c s="8" r="W190"/>
      <c s="8" r="X190"/>
      <c s="8" r="Y190"/>
      <c s="8" r="Z190"/>
      <c s="8" r="AA190"/>
    </row>
    <row r="191">
      <c t="s" s="7" r="A191">
        <v>665</v>
      </c>
      <c t="s" s="7" r="B191">
        <v>666</v>
      </c>
      <c t="s" s="7" r="C191">
        <v>667</v>
      </c>
      <c t="s" s="7" r="D191">
        <v>668</v>
      </c>
      <c t="str" s="9" r="E191">
        <f>HYPERLINK("https://twitter.com/KimDultz","@KimDultz")</f>
        <v>@KimDultz</v>
      </c>
      <c t="str" s="9" r="F191">
        <f>HYPERLINK("http://instagram.com/kimdultz","@KimDultz")</f>
        <v>@KimDultz</v>
      </c>
      <c t="s" s="7" r="G191">
        <v>669</v>
      </c>
      <c t="s" s="7" r="H191">
        <v>670</v>
      </c>
      <c s="8" r="I191"/>
      <c s="8" r="J191"/>
      <c s="8" r="K191"/>
      <c s="8" r="L191"/>
      <c s="8" r="M191"/>
      <c s="8" r="N191"/>
      <c s="8" r="O191"/>
      <c s="8" r="P191"/>
      <c s="8" r="Q191"/>
      <c s="8" r="R191"/>
      <c s="8" r="S191"/>
      <c s="8" r="T191"/>
      <c s="8" r="U191"/>
      <c s="8" r="V191"/>
      <c s="8" r="W191"/>
      <c s="8" r="X191"/>
      <c s="8" r="Y191"/>
      <c s="8" r="Z191"/>
      <c s="8" r="AA191"/>
    </row>
    <row r="192">
      <c t="s" s="7" r="A192">
        <v>671</v>
      </c>
      <c t="s" s="7" r="B192">
        <v>672</v>
      </c>
      <c t="s" s="7" r="C192">
        <v>673</v>
      </c>
      <c s="8" r="D192"/>
      <c s="8" r="E192"/>
      <c s="8" r="F192"/>
      <c s="8" r="G192"/>
      <c s="8" r="H192"/>
      <c s="8" r="I192"/>
      <c s="8" r="J192"/>
      <c s="8" r="K192"/>
      <c s="8" r="L192"/>
      <c s="8" r="M192"/>
      <c s="8" r="N192"/>
      <c s="8" r="O192"/>
      <c s="8" r="P192"/>
      <c s="8" r="Q192"/>
      <c s="8" r="R192"/>
      <c s="8" r="S192"/>
      <c s="8" r="T192"/>
      <c s="8" r="U192"/>
      <c s="8" r="V192"/>
      <c s="8" r="W192"/>
      <c s="8" r="X192"/>
      <c s="8" r="Y192"/>
      <c s="8" r="Z192"/>
      <c s="8" r="AA192"/>
    </row>
    <row r="193">
      <c t="s" s="7" r="A193">
        <v>674</v>
      </c>
      <c t="s" s="7" r="B193">
        <v>675</v>
      </c>
      <c t="s" s="7" r="C193">
        <v>676</v>
      </c>
      <c s="8" r="D193"/>
      <c s="8" r="E193"/>
      <c s="8" r="F193"/>
      <c s="8" r="G193"/>
      <c s="8" r="H193"/>
      <c s="8" r="I193"/>
      <c s="8" r="J193"/>
      <c s="8" r="K193"/>
      <c s="8" r="L193"/>
      <c s="8" r="M193"/>
      <c s="8" r="N193"/>
      <c s="8" r="O193"/>
      <c s="8" r="P193"/>
      <c s="8" r="Q193"/>
      <c s="8" r="R193"/>
      <c s="8" r="S193"/>
      <c s="8" r="T193"/>
      <c s="8" r="U193"/>
      <c s="8" r="V193"/>
      <c s="8" r="W193"/>
      <c s="8" r="X193"/>
      <c s="8" r="Y193"/>
      <c s="8" r="Z193"/>
      <c s="8" r="AA193"/>
    </row>
    <row r="194">
      <c t="s" s="7" r="A194">
        <v>677</v>
      </c>
      <c t="s" s="7" r="B194">
        <v>678</v>
      </c>
      <c t="s" s="7" r="C194">
        <v>679</v>
      </c>
      <c t="s" s="7" r="D194">
        <v>680</v>
      </c>
      <c t="str" s="9" r="E194">
        <f>HYPERLINK("https://twitter.com/Fuckasaurus_RDS","@fuckasaurus_rds")</f>
        <v>@fuckasaurus_rds</v>
      </c>
      <c t="str" s="9" r="F194">
        <f>HYPERLINK("http://instagram.com/fuckasaurus_wolfknives","@fuckasaurus_wolfknives")</f>
        <v>@fuckasaurus_wolfknives</v>
      </c>
      <c s="8" r="G194"/>
      <c t="s" s="7" r="H194">
        <v>681</v>
      </c>
      <c s="8" r="I194"/>
      <c s="8" r="J194"/>
      <c s="8" r="K194"/>
      <c s="8" r="L194"/>
      <c s="8" r="M194"/>
      <c s="8" r="N194"/>
      <c s="8" r="O194"/>
      <c s="8" r="P194"/>
      <c s="8" r="Q194"/>
      <c s="8" r="R194"/>
      <c s="8" r="S194"/>
      <c s="8" r="T194"/>
      <c s="8" r="U194"/>
      <c s="8" r="V194"/>
      <c s="8" r="W194"/>
      <c s="8" r="X194"/>
      <c s="8" r="Y194"/>
      <c s="8" r="Z194"/>
      <c s="8" r="AA194"/>
    </row>
    <row r="195">
      <c t="s" s="7" r="A195">
        <v>682</v>
      </c>
      <c t="s" s="7" r="B195">
        <v>683</v>
      </c>
      <c t="s" s="7" r="C195">
        <v>684</v>
      </c>
      <c t="s" s="7" r="D195">
        <v>685</v>
      </c>
      <c t="str" s="9" r="E195">
        <f>HYPERLINK("https://twitter.com/dcucowboy","@dcucowboy")</f>
        <v>@dcucowboy</v>
      </c>
      <c t="str" s="9" r="F195">
        <f>HYPERLINK("http://instagram.com/evanr88","@EVANR88")</f>
        <v>@EVANR88</v>
      </c>
      <c s="8" r="G195"/>
      <c s="8" r="H195"/>
      <c s="8" r="I195"/>
      <c s="8" r="J195"/>
      <c s="8" r="K195"/>
      <c s="8" r="L195"/>
      <c s="8" r="M195"/>
      <c s="8" r="N195"/>
      <c s="8" r="O195"/>
      <c s="8" r="P195"/>
      <c s="8" r="Q195"/>
      <c s="8" r="R195"/>
      <c s="8" r="S195"/>
      <c s="8" r="T195"/>
      <c s="8" r="U195"/>
      <c s="8" r="V195"/>
      <c s="8" r="W195"/>
      <c s="8" r="X195"/>
      <c s="8" r="Y195"/>
      <c s="8" r="Z195"/>
      <c s="8" r="AA195"/>
    </row>
    <row r="196">
      <c t="s" s="7" r="A196">
        <v>686</v>
      </c>
      <c t="s" s="7" r="B196">
        <v>687</v>
      </c>
      <c t="s" s="7" r="C196">
        <v>688</v>
      </c>
      <c s="8" r="D196"/>
      <c s="8" r="E196"/>
      <c s="8" r="F196"/>
      <c s="8" r="G196"/>
      <c s="8" r="H196"/>
      <c s="8" r="I196"/>
      <c s="8" r="J196"/>
      <c s="8" r="K196"/>
      <c s="8" r="L196"/>
      <c s="8" r="M196"/>
      <c s="8" r="N196"/>
      <c s="8" r="O196"/>
      <c s="8" r="P196"/>
      <c s="8" r="Q196"/>
      <c s="8" r="R196"/>
      <c s="8" r="S196"/>
      <c s="8" r="T196"/>
      <c s="8" r="U196"/>
      <c s="8" r="V196"/>
      <c s="8" r="W196"/>
      <c s="8" r="X196"/>
      <c s="8" r="Y196"/>
      <c s="8" r="Z196"/>
      <c s="8" r="AA196"/>
    </row>
    <row r="197">
      <c t="s" s="7" r="A197">
        <v>689</v>
      </c>
      <c t="s" s="7" r="B197">
        <v>690</v>
      </c>
      <c t="s" s="7" r="C197">
        <v>691</v>
      </c>
      <c s="8" r="D197"/>
      <c s="8" r="E197"/>
      <c s="8" r="F197"/>
      <c s="8" r="G197"/>
      <c s="8" r="H197"/>
      <c s="8" r="I197"/>
      <c s="8" r="J197"/>
      <c s="8" r="K197"/>
      <c s="8" r="L197"/>
      <c s="8" r="M197"/>
      <c s="8" r="N197"/>
      <c s="8" r="O197"/>
      <c s="8" r="P197"/>
      <c s="8" r="Q197"/>
      <c s="8" r="R197"/>
      <c s="8" r="S197"/>
      <c s="8" r="T197"/>
      <c s="8" r="U197"/>
      <c s="8" r="V197"/>
      <c s="8" r="W197"/>
      <c s="8" r="X197"/>
      <c s="8" r="Y197"/>
      <c s="8" r="Z197"/>
      <c s="8" r="AA197"/>
    </row>
    <row r="198">
      <c t="s" s="7" r="A198">
        <v>692</v>
      </c>
      <c t="s" s="7" r="B198">
        <v>693</v>
      </c>
      <c t="s" s="7" r="C198">
        <v>694</v>
      </c>
      <c s="8" r="D198"/>
      <c s="8" r="E198"/>
      <c s="8" r="F198"/>
      <c s="8" r="G198"/>
      <c s="8" r="H198"/>
      <c s="8" r="I198"/>
      <c s="8" r="J198"/>
      <c s="8" r="K198"/>
      <c s="8" r="L198"/>
      <c s="8" r="M198"/>
      <c s="8" r="N198"/>
      <c s="8" r="O198"/>
      <c s="8" r="P198"/>
      <c s="8" r="Q198"/>
      <c s="8" r="R198"/>
      <c s="8" r="S198"/>
      <c s="8" r="T198"/>
      <c s="8" r="U198"/>
      <c s="8" r="V198"/>
      <c s="8" r="W198"/>
      <c s="8" r="X198"/>
      <c s="8" r="Y198"/>
      <c s="8" r="Z198"/>
      <c s="8" r="AA198"/>
    </row>
    <row r="199">
      <c t="s" s="7" r="A199">
        <v>695</v>
      </c>
      <c t="s" s="7" r="B199">
        <v>696</v>
      </c>
      <c t="s" s="7" r="C199">
        <v>697</v>
      </c>
      <c s="8" r="D199"/>
      <c s="8" r="E199"/>
      <c s="8" r="F199"/>
      <c s="8" r="G199"/>
      <c s="8" r="H199"/>
      <c s="8" r="I199"/>
      <c s="8" r="J199"/>
      <c s="8" r="K199"/>
      <c s="8" r="L199"/>
      <c s="8" r="M199"/>
      <c s="8" r="N199"/>
      <c s="8" r="O199"/>
      <c s="8" r="P199"/>
      <c s="8" r="Q199"/>
      <c s="8" r="R199"/>
      <c s="8" r="S199"/>
      <c s="8" r="T199"/>
      <c s="8" r="U199"/>
      <c s="8" r="V199"/>
      <c s="8" r="W199"/>
      <c s="8" r="X199"/>
      <c s="8" r="Y199"/>
      <c s="8" r="Z199"/>
      <c s="8" r="AA199"/>
    </row>
    <row r="200">
      <c t="s" s="7" r="A200">
        <v>698</v>
      </c>
      <c t="s" s="7" r="B200">
        <v>699</v>
      </c>
      <c t="s" s="7" r="C200">
        <v>700</v>
      </c>
      <c s="8" r="D200"/>
      <c s="8" r="E200"/>
      <c s="8" r="F200"/>
      <c s="8" r="G200"/>
      <c s="8" r="H200"/>
      <c s="8" r="I200"/>
      <c s="8" r="J200"/>
      <c s="8" r="K200"/>
      <c s="8" r="L200"/>
      <c s="8" r="M200"/>
      <c s="8" r="N200"/>
      <c s="8" r="O200"/>
      <c s="8" r="P200"/>
      <c s="8" r="Q200"/>
      <c s="8" r="R200"/>
      <c s="8" r="S200"/>
      <c s="8" r="T200"/>
      <c s="8" r="U200"/>
      <c s="8" r="V200"/>
      <c s="8" r="W200"/>
      <c s="8" r="X200"/>
      <c s="8" r="Y200"/>
      <c s="8" r="Z200"/>
      <c s="8" r="AA200"/>
    </row>
    <row r="201">
      <c t="s" s="7" r="A201">
        <v>701</v>
      </c>
      <c t="s" s="7" r="B201">
        <v>702</v>
      </c>
      <c t="s" s="7" r="C201">
        <v>703</v>
      </c>
      <c s="8" r="D201"/>
      <c s="8" r="E201"/>
      <c s="8" r="F201"/>
      <c s="8" r="G201"/>
      <c s="8" r="H201"/>
      <c s="8" r="I201"/>
      <c s="8" r="J201"/>
      <c s="8" r="K201"/>
      <c s="8" r="L201"/>
      <c s="8" r="M201"/>
      <c s="8" r="N201"/>
      <c s="8" r="O201"/>
      <c s="8" r="P201"/>
      <c s="8" r="Q201"/>
      <c s="8" r="R201"/>
      <c s="8" r="S201"/>
      <c s="8" r="T201"/>
      <c s="8" r="U201"/>
      <c s="8" r="V201"/>
      <c s="8" r="W201"/>
      <c s="8" r="X201"/>
      <c s="8" r="Y201"/>
      <c s="8" r="Z201"/>
      <c s="8" r="AA201"/>
    </row>
    <row r="202">
      <c t="s" s="7" r="A202">
        <v>704</v>
      </c>
      <c t="s" s="7" r="B202">
        <v>705</v>
      </c>
      <c t="s" s="7" r="C202">
        <v>706</v>
      </c>
      <c s="8" r="D202"/>
      <c s="8" r="E202"/>
      <c s="8" r="F202"/>
      <c s="8" r="G202"/>
      <c s="8" r="H202"/>
      <c s="8" r="I202"/>
      <c s="8" r="J202"/>
      <c s="8" r="K202"/>
      <c s="8" r="L202"/>
      <c s="8" r="M202"/>
      <c s="8" r="N202"/>
      <c s="8" r="O202"/>
      <c s="8" r="P202"/>
      <c s="8" r="Q202"/>
      <c s="8" r="R202"/>
      <c s="8" r="S202"/>
      <c s="8" r="T202"/>
      <c s="8" r="U202"/>
      <c s="8" r="V202"/>
      <c s="8" r="W202"/>
      <c s="8" r="X202"/>
      <c s="8" r="Y202"/>
      <c s="8" r="Z202"/>
      <c s="8" r="AA202"/>
    </row>
    <row r="203">
      <c t="s" s="7" r="A203">
        <v>707</v>
      </c>
      <c t="s" s="7" r="B203">
        <v>708</v>
      </c>
      <c t="s" s="7" r="C203">
        <v>709</v>
      </c>
      <c s="8" r="D203"/>
      <c s="8" r="E203"/>
      <c s="8" r="F203"/>
      <c s="8" r="G203"/>
      <c s="8" r="H203"/>
      <c s="8" r="I203"/>
      <c s="8" r="J203"/>
      <c s="8" r="K203"/>
      <c s="8" r="L203"/>
      <c s="8" r="M203"/>
      <c s="8" r="N203"/>
      <c s="8" r="O203"/>
      <c s="8" r="P203"/>
      <c s="8" r="Q203"/>
      <c s="8" r="R203"/>
      <c s="8" r="S203"/>
      <c s="8" r="T203"/>
      <c s="8" r="U203"/>
      <c s="8" r="V203"/>
      <c s="8" r="W203"/>
      <c s="8" r="X203"/>
      <c s="8" r="Y203"/>
      <c s="8" r="Z203"/>
      <c s="8" r="AA203"/>
    </row>
    <row r="204">
      <c t="s" s="7" r="A204">
        <v>710</v>
      </c>
      <c t="s" s="7" r="B204">
        <v>711</v>
      </c>
      <c t="s" s="7" r="C204">
        <v>712</v>
      </c>
      <c s="8" r="D204"/>
      <c s="8" r="E204"/>
      <c s="8" r="F204"/>
      <c s="8" r="G204"/>
      <c s="8" r="H204"/>
      <c s="8" r="I204"/>
      <c s="8" r="J204"/>
      <c s="8" r="K204"/>
      <c s="8" r="L204"/>
      <c s="8" r="M204"/>
      <c s="8" r="N204"/>
      <c s="8" r="O204"/>
      <c s="8" r="P204"/>
      <c s="8" r="Q204"/>
      <c s="8" r="R204"/>
      <c s="8" r="S204"/>
      <c s="8" r="T204"/>
      <c s="8" r="U204"/>
      <c s="8" r="V204"/>
      <c s="8" r="W204"/>
      <c s="8" r="X204"/>
      <c s="8" r="Y204"/>
      <c s="8" r="Z204"/>
      <c s="8" r="AA204"/>
    </row>
    <row r="205">
      <c t="s" s="7" r="A205">
        <v>713</v>
      </c>
      <c t="s" s="7" r="B205">
        <v>714</v>
      </c>
      <c t="s" s="7" r="C205">
        <v>715</v>
      </c>
      <c s="8" r="D205"/>
      <c s="8" r="E205"/>
      <c s="8" r="F205"/>
      <c s="8" r="G205"/>
      <c s="8" r="H205"/>
      <c s="8" r="I205"/>
      <c s="8" r="J205"/>
      <c s="8" r="K205"/>
      <c s="8" r="L205"/>
      <c s="8" r="M205"/>
      <c s="8" r="N205"/>
      <c s="8" r="O205"/>
      <c s="8" r="P205"/>
      <c s="8" r="Q205"/>
      <c s="8" r="R205"/>
      <c s="8" r="S205"/>
      <c s="8" r="T205"/>
      <c s="8" r="U205"/>
      <c s="8" r="V205"/>
      <c s="8" r="W205"/>
      <c s="8" r="X205"/>
      <c s="8" r="Y205"/>
      <c s="8" r="Z205"/>
      <c s="8" r="AA205"/>
    </row>
    <row r="206">
      <c t="s" s="7" r="A206">
        <v>716</v>
      </c>
      <c t="s" s="7" r="B206">
        <v>717</v>
      </c>
      <c t="s" s="7" r="C206">
        <v>718</v>
      </c>
      <c s="8" r="D206"/>
      <c s="8" r="E206"/>
      <c s="8" r="F206"/>
      <c s="8" r="G206"/>
      <c s="8" r="H206"/>
      <c s="8" r="I206"/>
      <c s="8" r="J206"/>
      <c s="8" r="K206"/>
      <c s="8" r="L206"/>
      <c s="8" r="M206"/>
      <c s="8" r="N206"/>
      <c s="8" r="O206"/>
      <c s="8" r="P206"/>
      <c s="8" r="Q206"/>
      <c s="8" r="R206"/>
      <c s="8" r="S206"/>
      <c s="8" r="T206"/>
      <c s="8" r="U206"/>
      <c s="8" r="V206"/>
      <c s="8" r="W206"/>
      <c s="8" r="X206"/>
      <c s="8" r="Y206"/>
      <c s="8" r="Z206"/>
      <c s="8" r="AA206"/>
    </row>
    <row r="207">
      <c t="s" s="7" r="A207">
        <v>719</v>
      </c>
      <c t="s" s="7" r="B207">
        <v>720</v>
      </c>
      <c t="s" s="7" r="C207">
        <v>721</v>
      </c>
      <c s="8" r="D207"/>
      <c s="8" r="E207"/>
      <c s="8" r="F207"/>
      <c s="8" r="G207"/>
      <c s="8" r="H207"/>
      <c s="8" r="I207"/>
      <c s="8" r="J207"/>
      <c s="8" r="K207"/>
      <c s="8" r="L207"/>
      <c s="8" r="M207"/>
      <c s="8" r="N207"/>
      <c s="8" r="O207"/>
      <c s="8" r="P207"/>
      <c s="8" r="Q207"/>
      <c s="8" r="R207"/>
      <c s="8" r="S207"/>
      <c s="8" r="T207"/>
      <c s="8" r="U207"/>
      <c s="8" r="V207"/>
      <c s="8" r="W207"/>
      <c s="8" r="X207"/>
      <c s="8" r="Y207"/>
      <c s="8" r="Z207"/>
      <c s="8" r="AA207"/>
    </row>
    <row r="208">
      <c t="s" s="7" r="A208">
        <v>722</v>
      </c>
      <c t="s" s="7" r="B208">
        <v>723</v>
      </c>
      <c t="s" s="7" r="C208">
        <v>724</v>
      </c>
      <c s="8" r="D208"/>
      <c s="8" r="E208"/>
      <c s="8" r="F208"/>
      <c s="8" r="G208"/>
      <c s="8" r="H208"/>
      <c s="8" r="I208"/>
      <c s="8" r="J208"/>
      <c s="8" r="K208"/>
      <c s="8" r="L208"/>
      <c s="8" r="M208"/>
      <c s="8" r="N208"/>
      <c s="8" r="O208"/>
      <c s="8" r="P208"/>
      <c s="8" r="Q208"/>
      <c s="8" r="R208"/>
      <c s="8" r="S208"/>
      <c s="8" r="T208"/>
      <c s="8" r="U208"/>
      <c s="8" r="V208"/>
      <c s="8" r="W208"/>
      <c s="8" r="X208"/>
      <c s="8" r="Y208"/>
      <c s="8" r="Z208"/>
      <c s="8" r="AA208"/>
    </row>
    <row r="209">
      <c t="s" s="7" r="A209">
        <v>725</v>
      </c>
      <c t="s" s="7" r="B209">
        <v>726</v>
      </c>
      <c t="s" s="7" r="C209">
        <v>727</v>
      </c>
      <c s="8" r="D209"/>
      <c s="8" r="E209"/>
      <c s="8" r="F209"/>
      <c s="8" r="G209"/>
      <c s="8" r="H209"/>
      <c s="8" r="I209"/>
      <c s="8" r="J209"/>
      <c s="8" r="K209"/>
      <c s="8" r="L209"/>
      <c s="8" r="M209"/>
      <c s="8" r="N209"/>
      <c s="8" r="O209"/>
      <c s="8" r="P209"/>
      <c s="8" r="Q209"/>
      <c s="8" r="R209"/>
      <c s="8" r="S209"/>
      <c s="8" r="T209"/>
      <c s="8" r="U209"/>
      <c s="8" r="V209"/>
      <c s="8" r="W209"/>
      <c s="8" r="X209"/>
      <c s="8" r="Y209"/>
      <c s="8" r="Z209"/>
      <c s="8" r="AA209"/>
    </row>
    <row r="210">
      <c t="s" s="7" r="A210">
        <v>728</v>
      </c>
      <c t="s" s="7" r="B210">
        <v>729</v>
      </c>
      <c t="s" s="7" r="C210">
        <v>730</v>
      </c>
      <c s="8" r="D210"/>
      <c s="8" r="E210"/>
      <c s="8" r="F210"/>
      <c s="8" r="G210"/>
      <c s="8" r="H210"/>
      <c s="8" r="I210"/>
      <c s="8" r="J210"/>
      <c s="8" r="K210"/>
      <c s="8" r="L210"/>
      <c s="8" r="M210"/>
      <c s="8" r="N210"/>
      <c s="8" r="O210"/>
      <c s="8" r="P210"/>
      <c s="8" r="Q210"/>
      <c s="8" r="R210"/>
      <c s="8" r="S210"/>
      <c s="8" r="T210"/>
      <c s="8" r="U210"/>
      <c s="8" r="V210"/>
      <c s="8" r="W210"/>
      <c s="8" r="X210"/>
      <c s="8" r="Y210"/>
      <c s="8" r="Z210"/>
      <c s="8" r="AA210"/>
    </row>
    <row r="211">
      <c t="s" s="7" r="A211">
        <v>731</v>
      </c>
      <c t="s" s="7" r="B211">
        <v>732</v>
      </c>
      <c t="s" s="7" r="C211">
        <v>733</v>
      </c>
      <c t="s" s="7" r="D211">
        <v>734</v>
      </c>
      <c t="str" s="9" r="E211">
        <f>HYPERLINK("https://twitter.com/dardar70","@DarDar70")</f>
        <v>@DarDar70</v>
      </c>
      <c t="str" s="9" r="F211">
        <f>HYPERLINK("http://instagram.com/DarDar70","@DarDar70")</f>
        <v>@DarDar70</v>
      </c>
      <c t="s" s="7" r="G211">
        <v>735</v>
      </c>
      <c s="8" r="H211"/>
      <c s="8" r="I211"/>
      <c s="8" r="J211"/>
      <c s="8" r="K211"/>
      <c s="8" r="L211"/>
      <c s="8" r="M211"/>
      <c s="8" r="N211"/>
      <c s="8" r="O211"/>
      <c s="8" r="P211"/>
      <c s="8" r="Q211"/>
      <c s="8" r="R211"/>
      <c s="8" r="S211"/>
      <c s="8" r="T211"/>
      <c s="8" r="U211"/>
      <c s="8" r="V211"/>
      <c s="8" r="W211"/>
      <c s="8" r="X211"/>
      <c s="8" r="Y211"/>
      <c s="8" r="Z211"/>
      <c s="8" r="AA211"/>
    </row>
    <row r="212">
      <c t="s" s="7" r="A212">
        <v>736</v>
      </c>
      <c t="s" s="7" r="B212">
        <v>737</v>
      </c>
      <c t="s" s="7" r="C212">
        <v>738</v>
      </c>
      <c s="8" r="D212"/>
      <c s="8" r="E212"/>
      <c s="8" r="F212"/>
      <c s="8" r="G212"/>
      <c s="8" r="H212"/>
      <c s="8" r="I212"/>
      <c s="8" r="J212"/>
      <c s="8" r="K212"/>
      <c s="8" r="L212"/>
      <c s="8" r="M212"/>
      <c s="8" r="N212"/>
      <c s="8" r="O212"/>
      <c s="8" r="P212"/>
      <c s="8" r="Q212"/>
      <c s="8" r="R212"/>
      <c s="8" r="S212"/>
      <c s="8" r="T212"/>
      <c s="8" r="U212"/>
      <c s="8" r="V212"/>
      <c s="8" r="W212"/>
      <c s="8" r="X212"/>
      <c s="8" r="Y212"/>
      <c s="8" r="Z212"/>
      <c s="8" r="AA212"/>
    </row>
    <row r="213">
      <c t="s" s="7" r="A213">
        <v>739</v>
      </c>
      <c t="s" s="7" r="B213">
        <v>740</v>
      </c>
      <c t="s" s="7" r="C213">
        <v>741</v>
      </c>
      <c s="8" r="D213"/>
      <c s="8" r="E213"/>
      <c s="8" r="F213"/>
      <c s="8" r="G213"/>
      <c s="8" r="H213"/>
      <c s="8" r="I213"/>
      <c s="8" r="J213"/>
      <c s="8" r="K213"/>
      <c s="8" r="L213"/>
      <c s="8" r="M213"/>
      <c s="8" r="N213"/>
      <c s="8" r="O213"/>
      <c s="8" r="P213"/>
      <c s="8" r="Q213"/>
      <c s="8" r="R213"/>
      <c s="8" r="S213"/>
      <c s="8" r="T213"/>
      <c s="8" r="U213"/>
      <c s="8" r="V213"/>
      <c s="8" r="W213"/>
      <c s="8" r="X213"/>
      <c s="8" r="Y213"/>
      <c s="8" r="Z213"/>
      <c s="8" r="AA213"/>
    </row>
    <row r="214">
      <c t="s" s="7" r="A214">
        <v>742</v>
      </c>
      <c t="s" s="7" r="B214">
        <v>743</v>
      </c>
      <c t="s" s="7" r="C214">
        <v>744</v>
      </c>
      <c s="8" r="D214"/>
      <c s="8" r="E214"/>
      <c s="8" r="F214"/>
      <c s="8" r="G214"/>
      <c s="8" r="H214"/>
      <c s="8" r="I214"/>
      <c s="8" r="J214"/>
      <c s="8" r="K214"/>
      <c s="8" r="L214"/>
      <c s="8" r="M214"/>
      <c s="8" r="N214"/>
      <c s="8" r="O214"/>
      <c s="8" r="P214"/>
      <c s="8" r="Q214"/>
      <c s="8" r="R214"/>
      <c s="8" r="S214"/>
      <c s="8" r="T214"/>
      <c s="8" r="U214"/>
      <c s="8" r="V214"/>
      <c s="8" r="W214"/>
      <c s="8" r="X214"/>
      <c s="8" r="Y214"/>
      <c s="8" r="Z214"/>
      <c s="8" r="AA214"/>
    </row>
    <row r="215">
      <c t="s" s="7" r="A215">
        <v>745</v>
      </c>
      <c t="s" s="7" r="B215">
        <v>746</v>
      </c>
      <c t="s" s="7" r="C215">
        <v>747</v>
      </c>
      <c s="8" r="D215"/>
      <c s="8" r="E215"/>
      <c s="8" r="F215"/>
      <c s="8" r="G215"/>
      <c s="8" r="H215"/>
      <c s="8" r="I215"/>
      <c s="8" r="J215"/>
      <c s="8" r="K215"/>
      <c s="8" r="L215"/>
      <c s="8" r="M215"/>
      <c s="8" r="N215"/>
      <c s="8" r="O215"/>
      <c s="8" r="P215"/>
      <c s="8" r="Q215"/>
      <c s="8" r="R215"/>
      <c s="8" r="S215"/>
      <c s="8" r="T215"/>
      <c s="8" r="U215"/>
      <c s="8" r="V215"/>
      <c s="8" r="W215"/>
      <c s="8" r="X215"/>
      <c s="8" r="Y215"/>
      <c s="8" r="Z215"/>
      <c s="8" r="AA215"/>
    </row>
    <row r="216">
      <c t="s" s="7" r="A216">
        <v>748</v>
      </c>
      <c t="s" s="7" r="B216">
        <v>749</v>
      </c>
      <c t="s" s="7" r="C216">
        <v>750</v>
      </c>
      <c s="8" r="D216"/>
      <c s="8" r="E216"/>
      <c s="8" r="F216"/>
      <c s="8" r="G216"/>
      <c s="8" r="H216"/>
      <c s="8" r="I216"/>
      <c s="8" r="J216"/>
      <c s="8" r="K216"/>
      <c s="8" r="L216"/>
      <c s="8" r="M216"/>
      <c s="8" r="N216"/>
      <c s="8" r="O216"/>
      <c s="8" r="P216"/>
      <c s="8" r="Q216"/>
      <c s="8" r="R216"/>
      <c s="8" r="S216"/>
      <c s="8" r="T216"/>
      <c s="8" r="U216"/>
      <c s="8" r="V216"/>
      <c s="8" r="W216"/>
      <c s="8" r="X216"/>
      <c s="8" r="Y216"/>
      <c s="8" r="Z216"/>
      <c s="8" r="AA216"/>
    </row>
    <row r="217">
      <c t="s" s="7" r="A217">
        <v>751</v>
      </c>
      <c t="s" s="7" r="B217">
        <v>752</v>
      </c>
      <c t="s" s="7" r="C217">
        <v>753</v>
      </c>
      <c t="s" s="7" r="D217">
        <v>754</v>
      </c>
      <c t="str" s="9" r="E217">
        <f>HYPERLINK("https://twitter.com/BadChad1968","@BadChad1968")</f>
        <v>@BadChad1968</v>
      </c>
      <c t="str" s="9" r="F217">
        <f>HYPERLINK("http://instagram.com/goatthroatx","@goatthroatx")</f>
        <v>@goatthroatx</v>
      </c>
      <c s="8" r="G217"/>
      <c s="8" r="H217"/>
      <c s="8" r="I217"/>
      <c s="8" r="J217"/>
      <c s="8" r="K217"/>
      <c s="8" r="L217"/>
      <c s="8" r="M217"/>
      <c s="8" r="N217"/>
      <c s="8" r="O217"/>
      <c s="8" r="P217"/>
      <c s="8" r="Q217"/>
      <c s="8" r="R217"/>
      <c s="8" r="S217"/>
      <c s="8" r="T217"/>
      <c s="8" r="U217"/>
      <c s="8" r="V217"/>
      <c s="8" r="W217"/>
      <c s="8" r="X217"/>
      <c s="8" r="Y217"/>
      <c s="8" r="Z217"/>
      <c s="8" r="AA217"/>
    </row>
    <row r="218">
      <c t="s" s="7" r="A218">
        <v>755</v>
      </c>
      <c t="s" s="7" r="B218">
        <v>756</v>
      </c>
      <c t="s" s="7" r="C218">
        <v>757</v>
      </c>
      <c t="s" s="7" r="D218">
        <v>758</v>
      </c>
      <c t="str" s="9" r="E218">
        <f>HYPERLINK("https://twitter.com/mmmluckylager","@mmmluckylager")</f>
        <v>@mmmluckylager</v>
      </c>
      <c s="8" r="F218"/>
      <c s="8" r="G218"/>
      <c s="8" r="H218"/>
      <c s="8" r="I218"/>
      <c s="8" r="J218"/>
      <c s="8" r="K218"/>
      <c s="8" r="L218"/>
      <c s="8" r="M218"/>
      <c s="8" r="N218"/>
      <c s="8" r="O218"/>
      <c s="8" r="P218"/>
      <c s="8" r="Q218"/>
      <c s="8" r="R218"/>
      <c s="8" r="S218"/>
      <c s="8" r="T218"/>
      <c s="8" r="U218"/>
      <c s="8" r="V218"/>
      <c s="8" r="W218"/>
      <c s="8" r="X218"/>
      <c s="8" r="Y218"/>
      <c s="8" r="Z218"/>
      <c s="8" r="AA218"/>
    </row>
    <row r="219">
      <c t="s" s="7" r="A219">
        <v>759</v>
      </c>
      <c t="s" s="7" r="B219">
        <v>760</v>
      </c>
      <c t="s" s="7" r="C219">
        <v>761</v>
      </c>
      <c s="8" r="D219"/>
      <c s="8" r="E219"/>
      <c s="8" r="F219"/>
      <c s="8" r="G219"/>
      <c s="8" r="H219"/>
      <c s="8" r="I219"/>
      <c s="8" r="J219"/>
      <c s="8" r="K219"/>
      <c s="8" r="L219"/>
      <c s="8" r="M219"/>
      <c s="8" r="N219"/>
      <c s="8" r="O219"/>
      <c s="8" r="P219"/>
      <c s="8" r="Q219"/>
      <c s="8" r="R219"/>
      <c s="8" r="S219"/>
      <c s="8" r="T219"/>
      <c s="8" r="U219"/>
      <c s="8" r="V219"/>
      <c s="8" r="W219"/>
      <c s="8" r="X219"/>
      <c s="8" r="Y219"/>
      <c s="8" r="Z219"/>
      <c s="8" r="AA219"/>
    </row>
    <row r="220">
      <c t="s" s="7" r="A220">
        <v>762</v>
      </c>
      <c t="s" s="7" r="B220">
        <v>763</v>
      </c>
      <c t="s" s="7" r="C220">
        <v>764</v>
      </c>
      <c s="8" r="D220"/>
      <c s="8" r="E220"/>
      <c s="8" r="F220"/>
      <c s="8" r="G220"/>
      <c s="8" r="H220"/>
      <c s="8" r="I220"/>
      <c s="8" r="J220"/>
      <c s="8" r="K220"/>
      <c s="8" r="L220"/>
      <c s="8" r="M220"/>
      <c s="8" r="N220"/>
      <c s="8" r="O220"/>
      <c s="8" r="P220"/>
      <c s="8" r="Q220"/>
      <c s="8" r="R220"/>
      <c s="8" r="S220"/>
      <c s="8" r="T220"/>
      <c s="8" r="U220"/>
      <c s="8" r="V220"/>
      <c s="8" r="W220"/>
      <c s="8" r="X220"/>
      <c s="8" r="Y220"/>
      <c s="8" r="Z220"/>
      <c s="8" r="AA220"/>
    </row>
    <row r="221">
      <c t="s" s="7" r="A221">
        <v>765</v>
      </c>
      <c t="s" s="7" r="B221">
        <v>766</v>
      </c>
      <c t="s" s="7" r="C221">
        <v>767</v>
      </c>
      <c s="8" r="D221"/>
      <c s="8" r="E221"/>
      <c s="8" r="F221"/>
      <c s="8" r="G221"/>
      <c s="8" r="H221"/>
      <c s="8" r="I221"/>
      <c s="8" r="J221"/>
      <c s="8" r="K221"/>
      <c s="8" r="L221"/>
      <c s="8" r="M221"/>
      <c s="8" r="N221"/>
      <c s="8" r="O221"/>
      <c s="8" r="P221"/>
      <c s="8" r="Q221"/>
      <c s="8" r="R221"/>
      <c s="8" r="S221"/>
      <c s="8" r="T221"/>
      <c s="8" r="U221"/>
      <c s="8" r="V221"/>
      <c s="8" r="W221"/>
      <c s="8" r="X221"/>
      <c s="8" r="Y221"/>
      <c s="8" r="Z221"/>
      <c s="8" r="AA221"/>
    </row>
    <row r="222">
      <c t="s" s="7" r="A222">
        <v>768</v>
      </c>
      <c t="s" s="7" r="B222">
        <v>769</v>
      </c>
      <c t="s" s="7" r="C222">
        <v>770</v>
      </c>
      <c s="8" r="D222"/>
      <c s="8" r="E222"/>
      <c s="8" r="F222"/>
      <c s="8" r="G222"/>
      <c s="8" r="H222"/>
      <c s="8" r="I222"/>
      <c s="8" r="J222"/>
      <c s="8" r="K222"/>
      <c s="8" r="L222"/>
      <c s="8" r="M222"/>
      <c s="8" r="N222"/>
      <c s="8" r="O222"/>
      <c s="8" r="P222"/>
      <c s="8" r="Q222"/>
      <c s="8" r="R222"/>
      <c s="8" r="S222"/>
      <c s="8" r="T222"/>
      <c s="8" r="U222"/>
      <c s="8" r="V222"/>
      <c s="8" r="W222"/>
      <c s="8" r="X222"/>
      <c s="8" r="Y222"/>
      <c s="8" r="Z222"/>
      <c s="8" r="AA222"/>
    </row>
    <row r="223">
      <c t="s" s="7" r="A223">
        <v>771</v>
      </c>
      <c t="s" s="7" r="B223">
        <v>772</v>
      </c>
      <c t="s" s="7" r="C223">
        <v>773</v>
      </c>
      <c t="s" s="7" r="D223">
        <v>774</v>
      </c>
      <c t="str" s="9" r="E223">
        <f>HYPERLINK("https://twitter.com/mariocc_rds","@mariocc_rds")</f>
        <v>@mariocc_rds</v>
      </c>
      <c t="str" s="9" r="F223">
        <f>HYPERLINK("http://instagram.com/mar1o_rds","@mar1o_rds")</f>
        <v>@mar1o_rds</v>
      </c>
      <c s="8" r="G223"/>
      <c t="s" s="7" r="H223">
        <v>775</v>
      </c>
      <c s="8" r="I223"/>
      <c s="8" r="J223"/>
      <c s="8" r="K223"/>
      <c s="8" r="L223"/>
      <c s="8" r="M223"/>
      <c s="8" r="N223"/>
      <c s="8" r="O223"/>
      <c s="8" r="P223"/>
      <c s="8" r="Q223"/>
      <c s="8" r="R223"/>
      <c s="8" r="S223"/>
      <c s="8" r="T223"/>
      <c s="8" r="U223"/>
      <c s="8" r="V223"/>
      <c s="8" r="W223"/>
      <c s="8" r="X223"/>
      <c s="8" r="Y223"/>
      <c s="8" r="Z223"/>
      <c s="8" r="AA223"/>
    </row>
    <row r="224">
      <c t="s" s="7" r="A224">
        <v>776</v>
      </c>
      <c t="s" s="7" r="B224">
        <v>777</v>
      </c>
      <c t="s" s="7" r="C224">
        <v>778</v>
      </c>
      <c s="8" r="D224"/>
      <c s="8" r="E224"/>
      <c s="8" r="F224"/>
      <c s="8" r="G224"/>
      <c s="8" r="H224"/>
      <c s="8" r="I224"/>
      <c s="8" r="J224"/>
      <c s="8" r="K224"/>
      <c s="8" r="L224"/>
      <c s="8" r="M224"/>
      <c s="8" r="N224"/>
      <c s="8" r="O224"/>
      <c s="8" r="P224"/>
      <c s="8" r="Q224"/>
      <c s="8" r="R224"/>
      <c s="8" r="S224"/>
      <c s="8" r="T224"/>
      <c s="8" r="U224"/>
      <c s="8" r="V224"/>
      <c s="8" r="W224"/>
      <c s="8" r="X224"/>
      <c s="8" r="Y224"/>
      <c s="8" r="Z224"/>
      <c s="8" r="AA224"/>
    </row>
    <row r="225">
      <c t="s" s="7" r="A225">
        <v>779</v>
      </c>
      <c t="s" s="7" r="B225">
        <v>780</v>
      </c>
      <c t="s" s="7" r="C225">
        <v>781</v>
      </c>
      <c s="8" r="D225"/>
      <c s="8" r="E225"/>
      <c s="8" r="F225"/>
      <c s="8" r="G225"/>
      <c s="8" r="H225"/>
      <c s="8" r="I225"/>
      <c s="8" r="J225"/>
      <c s="8" r="K225"/>
      <c s="8" r="L225"/>
      <c s="8" r="M225"/>
      <c s="8" r="N225"/>
      <c s="8" r="O225"/>
      <c s="8" r="P225"/>
      <c s="8" r="Q225"/>
      <c s="8" r="R225"/>
      <c s="8" r="S225"/>
      <c s="8" r="T225"/>
      <c s="8" r="U225"/>
      <c s="8" r="V225"/>
      <c s="8" r="W225"/>
      <c s="8" r="X225"/>
      <c s="8" r="Y225"/>
      <c s="8" r="Z225"/>
      <c s="8" r="AA225"/>
    </row>
    <row r="226">
      <c t="s" s="7" r="A226">
        <v>782</v>
      </c>
      <c t="s" s="7" r="B226">
        <v>783</v>
      </c>
      <c t="s" s="7" r="C226">
        <v>784</v>
      </c>
      <c t="s" s="7" r="D226">
        <v>785</v>
      </c>
      <c t="str" s="9" r="E226">
        <f>HYPERLINK("https://twitter.com/grumpiehmt","@Grumpiehmt")</f>
        <v>@Grumpiehmt</v>
      </c>
      <c t="str" s="9" r="F226">
        <f>HYPERLINK("http://instagram.com/grumpiehmt","@Grumpiehmt")</f>
        <v>@Grumpiehmt</v>
      </c>
      <c t="s" s="7" r="G226">
        <v>786</v>
      </c>
      <c s="8" r="H226"/>
      <c s="8" r="I226"/>
      <c s="8" r="J226"/>
      <c s="8" r="K226"/>
      <c s="8" r="L226"/>
      <c s="8" r="M226"/>
      <c s="8" r="N226"/>
      <c s="8" r="O226"/>
      <c s="8" r="P226"/>
      <c s="8" r="Q226"/>
      <c s="8" r="R226"/>
      <c s="8" r="S226"/>
      <c s="8" r="T226"/>
      <c s="8" r="U226"/>
      <c s="8" r="V226"/>
      <c s="8" r="W226"/>
      <c s="8" r="X226"/>
      <c s="8" r="Y226"/>
      <c s="8" r="Z226"/>
      <c s="8" r="AA226"/>
    </row>
    <row r="227">
      <c t="s" s="7" r="A227">
        <v>787</v>
      </c>
      <c t="s" s="7" r="B227">
        <v>788</v>
      </c>
      <c t="s" s="7" r="C227">
        <v>789</v>
      </c>
      <c s="8" r="D227"/>
      <c s="8" r="E227"/>
      <c s="8" r="F227"/>
      <c s="8" r="G227"/>
      <c s="8" r="H227"/>
      <c s="8" r="I227"/>
      <c s="8" r="J227"/>
      <c s="8" r="K227"/>
      <c s="8" r="L227"/>
      <c s="8" r="M227"/>
      <c s="8" r="N227"/>
      <c s="8" r="O227"/>
      <c s="8" r="P227"/>
      <c s="8" r="Q227"/>
      <c s="8" r="R227"/>
      <c s="8" r="S227"/>
      <c s="8" r="T227"/>
      <c s="8" r="U227"/>
      <c s="8" r="V227"/>
      <c s="8" r="W227"/>
      <c s="8" r="X227"/>
      <c s="8" r="Y227"/>
      <c s="8" r="Z227"/>
      <c s="8" r="AA227"/>
    </row>
    <row r="228">
      <c t="s" s="7" r="A228">
        <v>790</v>
      </c>
      <c t="s" s="7" r="B228">
        <v>791</v>
      </c>
      <c t="s" s="7" r="C228">
        <v>792</v>
      </c>
      <c s="8" r="D228"/>
      <c s="8" r="E228"/>
      <c s="8" r="F228"/>
      <c s="8" r="G228"/>
      <c s="8" r="H228"/>
      <c s="8" r="I228"/>
      <c s="8" r="J228"/>
      <c s="8" r="K228"/>
      <c s="8" r="L228"/>
      <c s="8" r="M228"/>
      <c s="8" r="N228"/>
      <c s="8" r="O228"/>
      <c s="8" r="P228"/>
      <c s="8" r="Q228"/>
      <c s="8" r="R228"/>
      <c s="8" r="S228"/>
      <c s="8" r="T228"/>
      <c s="8" r="U228"/>
      <c s="8" r="V228"/>
      <c s="8" r="W228"/>
      <c s="8" r="X228"/>
      <c s="8" r="Y228"/>
      <c s="8" r="Z228"/>
      <c s="8" r="AA228"/>
    </row>
    <row r="229">
      <c t="s" s="7" r="A229">
        <v>793</v>
      </c>
      <c t="s" s="7" r="B229">
        <v>794</v>
      </c>
      <c t="s" s="7" r="C229">
        <v>795</v>
      </c>
      <c s="8" r="D229"/>
      <c s="8" r="E229"/>
      <c s="8" r="F229"/>
      <c s="8" r="G229"/>
      <c s="8" r="H229"/>
      <c s="8" r="I229"/>
      <c s="8" r="J229"/>
      <c s="8" r="K229"/>
      <c s="8" r="L229"/>
      <c s="8" r="M229"/>
      <c s="8" r="N229"/>
      <c s="8" r="O229"/>
      <c s="8" r="P229"/>
      <c s="8" r="Q229"/>
      <c s="8" r="R229"/>
      <c s="8" r="S229"/>
      <c s="8" r="T229"/>
      <c s="8" r="U229"/>
      <c s="8" r="V229"/>
      <c s="8" r="W229"/>
      <c s="8" r="X229"/>
      <c s="8" r="Y229"/>
      <c s="8" r="Z229"/>
      <c s="8" r="AA229"/>
    </row>
    <row r="230">
      <c t="s" s="7" r="A230">
        <v>796</v>
      </c>
      <c t="s" s="7" r="B230">
        <v>797</v>
      </c>
      <c t="s" s="7" r="C230">
        <v>798</v>
      </c>
      <c s="8" r="D230"/>
      <c s="8" r="E230"/>
      <c s="8" r="F230"/>
      <c s="8" r="G230"/>
      <c s="8" r="H230"/>
      <c s="8" r="I230"/>
      <c s="8" r="J230"/>
      <c s="8" r="K230"/>
      <c s="8" r="L230"/>
      <c s="8" r="M230"/>
      <c s="8" r="N230"/>
      <c s="8" r="O230"/>
      <c s="8" r="P230"/>
      <c s="8" r="Q230"/>
      <c s="8" r="R230"/>
      <c s="8" r="S230"/>
      <c s="8" r="T230"/>
      <c s="8" r="U230"/>
      <c s="8" r="V230"/>
      <c s="8" r="W230"/>
      <c s="8" r="X230"/>
      <c s="8" r="Y230"/>
      <c s="8" r="Z230"/>
      <c s="8" r="AA230"/>
    </row>
    <row r="231">
      <c t="s" s="7" r="A231">
        <v>799</v>
      </c>
      <c t="s" s="7" r="B231">
        <v>800</v>
      </c>
      <c t="s" s="7" r="C231">
        <v>801</v>
      </c>
      <c s="8" r="D231"/>
      <c s="8" r="E231"/>
      <c s="8" r="F231"/>
      <c s="8" r="G231"/>
      <c s="8" r="H231"/>
      <c s="8" r="I231"/>
      <c s="8" r="J231"/>
      <c s="8" r="K231"/>
      <c s="8" r="L231"/>
      <c s="8" r="M231"/>
      <c s="8" r="N231"/>
      <c s="8" r="O231"/>
      <c s="8" r="P231"/>
      <c s="8" r="Q231"/>
      <c s="8" r="R231"/>
      <c s="8" r="S231"/>
      <c s="8" r="T231"/>
      <c s="8" r="U231"/>
      <c s="8" r="V231"/>
      <c s="8" r="W231"/>
      <c s="8" r="X231"/>
      <c s="8" r="Y231"/>
      <c s="8" r="Z231"/>
      <c s="8" r="AA231"/>
    </row>
    <row r="232">
      <c t="s" s="7" r="A232">
        <v>802</v>
      </c>
      <c t="s" s="7" r="B232">
        <v>803</v>
      </c>
      <c t="s" s="7" r="C232">
        <v>804</v>
      </c>
      <c t="s" s="7" r="D232">
        <v>805</v>
      </c>
      <c t="str" s="9" r="E232">
        <f>HYPERLINK("https://twitter.com/ReynMuthaFucka/","@ReynMuthaFucka")</f>
        <v>@ReynMuthaFucka</v>
      </c>
      <c t="str" s="9" r="F232">
        <f>HYPERLINK("http://instagram.com/ReynMuthaFucka","@ReynMuthaFucka")</f>
        <v>@ReynMuthaFucka</v>
      </c>
      <c s="8" r="G232"/>
      <c t="s" s="7" r="H232">
        <v>806</v>
      </c>
      <c s="8" r="I232"/>
      <c s="8" r="J232"/>
      <c s="8" r="K232"/>
      <c s="8" r="L232"/>
      <c s="8" r="M232"/>
      <c s="8" r="N232"/>
      <c s="8" r="O232"/>
      <c s="8" r="P232"/>
      <c s="8" r="Q232"/>
      <c s="8" r="R232"/>
      <c s="8" r="S232"/>
      <c s="8" r="T232"/>
      <c s="8" r="U232"/>
      <c s="8" r="V232"/>
      <c s="8" r="W232"/>
      <c s="8" r="X232"/>
      <c s="8" r="Y232"/>
      <c s="8" r="Z232"/>
      <c s="8" r="AA232"/>
    </row>
    <row r="233">
      <c t="s" s="7" r="A233">
        <v>807</v>
      </c>
      <c t="s" s="7" r="B233">
        <v>808</v>
      </c>
      <c t="s" s="7" r="C233">
        <v>809</v>
      </c>
      <c s="8" r="D233"/>
      <c s="8" r="E233"/>
      <c s="8" r="F233"/>
      <c s="8" r="G233"/>
      <c s="8" r="H233"/>
      <c s="8" r="I233"/>
      <c s="8" r="J233"/>
      <c s="8" r="K233"/>
      <c s="8" r="L233"/>
      <c s="8" r="M233"/>
      <c s="8" r="N233"/>
      <c s="8" r="O233"/>
      <c s="8" r="P233"/>
      <c s="8" r="Q233"/>
      <c s="8" r="R233"/>
      <c s="8" r="S233"/>
      <c s="8" r="T233"/>
      <c s="8" r="U233"/>
      <c s="8" r="V233"/>
      <c s="8" r="W233"/>
      <c s="8" r="X233"/>
      <c s="8" r="Y233"/>
      <c s="8" r="Z233"/>
      <c s="8" r="AA233"/>
    </row>
    <row r="234">
      <c t="s" s="7" r="A234">
        <v>810</v>
      </c>
      <c t="s" s="7" r="B234">
        <v>811</v>
      </c>
      <c t="s" s="7" r="C234">
        <v>812</v>
      </c>
      <c t="s" s="7" r="D234">
        <v>813</v>
      </c>
      <c t="str" s="9" r="E234">
        <f>HYPERLINK("https://twitter.com/Harry_Poppins_","@Harry_Poppins_")</f>
        <v>@Harry_Poppins_</v>
      </c>
      <c t="str" s="9" r="F234">
        <f>HYPERLINK("http://instagram.com/Harry_Poppins_Wolfknifes","@Harry_Poppins_Wolfknifes")</f>
        <v>@Harry_Poppins_Wolfknifes</v>
      </c>
      <c s="8" r="G234"/>
      <c s="8" r="H234"/>
      <c s="8" r="I234"/>
      <c s="8" r="J234"/>
      <c s="8" r="K234"/>
      <c s="8" r="L234"/>
      <c s="8" r="M234"/>
      <c s="8" r="N234"/>
      <c s="8" r="O234"/>
      <c s="8" r="P234"/>
      <c s="8" r="Q234"/>
      <c s="8" r="R234"/>
      <c s="8" r="S234"/>
      <c s="8" r="T234"/>
      <c s="8" r="U234"/>
      <c s="8" r="V234"/>
      <c s="8" r="W234"/>
      <c s="8" r="X234"/>
      <c s="8" r="Y234"/>
      <c s="8" r="Z234"/>
      <c s="8" r="AA234"/>
    </row>
    <row r="235">
      <c t="s" s="7" r="A235">
        <v>814</v>
      </c>
      <c t="s" s="7" r="B235">
        <v>815</v>
      </c>
      <c t="s" s="7" r="C235">
        <v>816</v>
      </c>
      <c s="8" r="D235"/>
      <c s="8" r="E235"/>
      <c s="8" r="F235"/>
      <c s="8" r="G235"/>
      <c s="8" r="H235"/>
      <c s="8" r="I235"/>
      <c s="8" r="J235"/>
      <c s="8" r="K235"/>
      <c s="8" r="L235"/>
      <c s="8" r="M235"/>
      <c s="8" r="N235"/>
      <c s="8" r="O235"/>
      <c s="8" r="P235"/>
      <c s="8" r="Q235"/>
      <c s="8" r="R235"/>
      <c s="8" r="S235"/>
      <c s="8" r="T235"/>
      <c s="8" r="U235"/>
      <c s="8" r="V235"/>
      <c s="8" r="W235"/>
      <c s="8" r="X235"/>
      <c s="8" r="Y235"/>
      <c s="8" r="Z235"/>
      <c s="8" r="AA235"/>
    </row>
    <row r="236">
      <c t="s" s="7" r="A236">
        <v>817</v>
      </c>
      <c t="s" s="7" r="B236">
        <v>818</v>
      </c>
      <c t="s" s="7" r="C236">
        <v>819</v>
      </c>
      <c t="s" s="7" r="D236">
        <v>820</v>
      </c>
      <c t="str" s="9" r="E236">
        <f>HYPERLINK("https://twitter.com/bigalont","@bigalont")</f>
        <v>@bigalont</v>
      </c>
      <c s="8" r="F236"/>
      <c s="8" r="G236"/>
      <c s="8" r="H236"/>
      <c s="8" r="I236"/>
      <c s="8" r="J236"/>
      <c s="8" r="K236"/>
      <c s="8" r="L236"/>
      <c s="8" r="M236"/>
      <c s="8" r="N236"/>
      <c s="8" r="O236"/>
      <c s="8" r="P236"/>
      <c s="8" r="Q236"/>
      <c s="8" r="R236"/>
      <c s="8" r="S236"/>
      <c s="8" r="T236"/>
      <c s="8" r="U236"/>
      <c s="8" r="V236"/>
      <c s="8" r="W236"/>
      <c s="8" r="X236"/>
      <c s="8" r="Y236"/>
      <c s="8" r="Z236"/>
      <c s="8" r="AA236"/>
    </row>
    <row r="237">
      <c t="s" s="7" r="A237">
        <v>821</v>
      </c>
      <c t="s" s="7" r="B237">
        <v>822</v>
      </c>
      <c t="s" s="7" r="C237">
        <v>823</v>
      </c>
      <c s="8" r="D237"/>
      <c s="8" r="E237"/>
      <c s="8" r="F237"/>
      <c s="8" r="G237"/>
      <c s="8" r="H237"/>
      <c s="8" r="I237"/>
      <c s="8" r="J237"/>
      <c s="8" r="K237"/>
      <c s="8" r="L237"/>
      <c s="8" r="M237"/>
      <c s="8" r="N237"/>
      <c s="8" r="O237"/>
      <c s="8" r="P237"/>
      <c s="8" r="Q237"/>
      <c s="8" r="R237"/>
      <c s="8" r="S237"/>
      <c s="8" r="T237"/>
      <c s="8" r="U237"/>
      <c s="8" r="V237"/>
      <c s="8" r="W237"/>
      <c s="8" r="X237"/>
      <c s="8" r="Y237"/>
      <c s="8" r="Z237"/>
      <c s="8" r="AA237"/>
    </row>
    <row r="238">
      <c t="s" s="7" r="A238">
        <v>824</v>
      </c>
      <c t="s" s="7" r="B238">
        <v>825</v>
      </c>
      <c t="s" s="7" r="C238">
        <v>826</v>
      </c>
      <c t="s" s="7" r="D238">
        <v>827</v>
      </c>
      <c t="str" s="9" r="E238">
        <f>HYPERLINK("https://twitter.com/AlanLC1979","@AlanLC1979")</f>
        <v>@AlanLC1979</v>
      </c>
      <c t="str" s="9" r="F238">
        <f>HYPERLINK("http://instagram.com/AlanLC1979","@AlanLC1979")</f>
        <v>@AlanLC1979</v>
      </c>
      <c s="8" r="G238"/>
      <c s="8" r="H238"/>
      <c s="8" r="I238"/>
      <c s="8" r="J238"/>
      <c s="8" r="K238"/>
      <c s="8" r="L238"/>
      <c s="8" r="M238"/>
      <c s="8" r="N238"/>
      <c s="8" r="O238"/>
      <c s="8" r="P238"/>
      <c s="8" r="Q238"/>
      <c s="8" r="R238"/>
      <c s="8" r="S238"/>
      <c s="8" r="T238"/>
      <c s="8" r="U238"/>
      <c s="8" r="V238"/>
      <c s="8" r="W238"/>
      <c s="8" r="X238"/>
      <c s="8" r="Y238"/>
      <c s="8" r="Z238"/>
      <c s="8" r="AA238"/>
    </row>
    <row r="239">
      <c t="s" s="7" r="A239">
        <v>828</v>
      </c>
      <c t="s" s="7" r="B239">
        <v>829</v>
      </c>
      <c t="s" s="7" r="C239">
        <v>830</v>
      </c>
      <c s="8" r="D239"/>
      <c s="8" r="E239"/>
      <c s="8" r="F239"/>
      <c s="8" r="G239"/>
      <c s="8" r="H239"/>
      <c s="8" r="I239"/>
      <c s="8" r="J239"/>
      <c s="8" r="K239"/>
      <c s="8" r="L239"/>
      <c s="8" r="M239"/>
      <c s="8" r="N239"/>
      <c s="8" r="O239"/>
      <c s="8" r="P239"/>
      <c s="8" r="Q239"/>
      <c s="8" r="R239"/>
      <c s="8" r="S239"/>
      <c s="8" r="T239"/>
      <c s="8" r="U239"/>
      <c s="8" r="V239"/>
      <c s="8" r="W239"/>
      <c s="8" r="X239"/>
      <c s="8" r="Y239"/>
      <c s="8" r="Z239"/>
      <c s="8" r="AA239"/>
    </row>
    <row r="240">
      <c t="s" s="7" r="A240">
        <v>831</v>
      </c>
      <c t="s" s="7" r="B240">
        <v>832</v>
      </c>
      <c t="s" s="7" r="C240">
        <v>833</v>
      </c>
      <c t="s" s="7" r="D240">
        <v>834</v>
      </c>
      <c t="str" s="9" r="E240">
        <f>HYPERLINK("https://twitter.com/MandyRiese","@mandyriese")</f>
        <v>@mandyriese</v>
      </c>
      <c t="str" s="9" r="F240">
        <f>HYPERLINK("http://instagram.com/mandyriese","@mandyriese")</f>
        <v>@mandyriese</v>
      </c>
      <c s="8" r="G240"/>
      <c t="s" s="7" r="H240">
        <v>835</v>
      </c>
      <c s="8" r="I240"/>
      <c s="8" r="J240"/>
      <c s="8" r="K240"/>
      <c s="8" r="L240"/>
      <c s="8" r="M240"/>
      <c s="8" r="N240"/>
      <c s="8" r="O240"/>
      <c s="8" r="P240"/>
      <c s="8" r="Q240"/>
      <c s="8" r="R240"/>
      <c s="8" r="S240"/>
      <c s="8" r="T240"/>
      <c s="8" r="U240"/>
      <c s="8" r="V240"/>
      <c s="8" r="W240"/>
      <c s="8" r="X240"/>
      <c s="8" r="Y240"/>
      <c s="8" r="Z240"/>
      <c s="8" r="AA240"/>
    </row>
    <row r="241">
      <c t="s" s="7" r="A241">
        <v>836</v>
      </c>
      <c t="s" s="7" r="B241">
        <v>837</v>
      </c>
      <c t="s" s="7" r="C241">
        <v>838</v>
      </c>
      <c s="8" r="D241"/>
      <c s="8" r="E241"/>
      <c s="8" r="F241"/>
      <c s="8" r="G241"/>
      <c s="8" r="H241"/>
      <c s="8" r="I241"/>
      <c s="8" r="J241"/>
      <c s="8" r="K241"/>
      <c s="8" r="L241"/>
      <c s="8" r="M241"/>
      <c s="8" r="N241"/>
      <c s="8" r="O241"/>
      <c s="8" r="P241"/>
      <c s="8" r="Q241"/>
      <c s="8" r="R241"/>
      <c s="8" r="S241"/>
      <c s="8" r="T241"/>
      <c s="8" r="U241"/>
      <c s="8" r="V241"/>
      <c s="8" r="W241"/>
      <c s="8" r="X241"/>
      <c s="8" r="Y241"/>
      <c s="8" r="Z241"/>
      <c s="8" r="AA241"/>
    </row>
    <row r="242">
      <c t="s" s="7" r="A242">
        <v>839</v>
      </c>
      <c t="s" s="7" r="B242">
        <v>840</v>
      </c>
      <c t="s" s="7" r="C242">
        <v>841</v>
      </c>
      <c s="8" r="D242"/>
      <c s="8" r="E242"/>
      <c s="8" r="F242"/>
      <c s="8" r="G242"/>
      <c s="8" r="H242"/>
      <c s="8" r="I242"/>
      <c s="8" r="J242"/>
      <c s="8" r="K242"/>
      <c s="8" r="L242"/>
      <c s="8" r="M242"/>
      <c s="8" r="N242"/>
      <c s="8" r="O242"/>
      <c s="8" r="P242"/>
      <c s="8" r="Q242"/>
      <c s="8" r="R242"/>
      <c s="8" r="S242"/>
      <c s="8" r="T242"/>
      <c s="8" r="U242"/>
      <c s="8" r="V242"/>
      <c s="8" r="W242"/>
      <c s="8" r="X242"/>
      <c s="8" r="Y242"/>
      <c s="8" r="Z242"/>
      <c s="8" r="AA242"/>
    </row>
    <row r="243">
      <c t="s" s="7" r="A243">
        <v>842</v>
      </c>
      <c t="s" s="7" r="B243">
        <v>843</v>
      </c>
      <c t="s" s="7" r="C243">
        <v>844</v>
      </c>
      <c t="s" s="7" r="D243">
        <v>845</v>
      </c>
      <c t="str" s="9" r="E243">
        <f>HYPERLINK("https://twitter.com/puttyman5000","@puttyman5000")</f>
        <v>@puttyman5000</v>
      </c>
      <c s="8" r="F243"/>
      <c s="8" r="G243"/>
      <c s="8" r="H243"/>
      <c s="8" r="I243"/>
      <c s="8" r="J243"/>
      <c s="8" r="K243"/>
      <c s="8" r="L243"/>
      <c s="8" r="M243"/>
      <c s="8" r="N243"/>
      <c s="8" r="O243"/>
      <c s="8" r="P243"/>
      <c s="8" r="Q243"/>
      <c s="8" r="R243"/>
      <c s="8" r="S243"/>
      <c s="8" r="T243"/>
      <c s="8" r="U243"/>
      <c s="8" r="V243"/>
      <c s="8" r="W243"/>
      <c s="8" r="X243"/>
      <c s="8" r="Y243"/>
      <c s="8" r="Z243"/>
      <c s="8" r="AA243"/>
    </row>
    <row r="244">
      <c t="s" s="7" r="A244">
        <v>846</v>
      </c>
      <c t="s" s="7" r="B244">
        <v>847</v>
      </c>
      <c t="s" s="7" r="C244">
        <v>848</v>
      </c>
      <c s="8" r="D244"/>
      <c s="8" r="E244"/>
      <c s="8" r="F244"/>
      <c s="8" r="G244"/>
      <c s="8" r="H244"/>
      <c s="8" r="I244"/>
      <c s="8" r="J244"/>
      <c s="8" r="K244"/>
      <c s="8" r="L244"/>
      <c s="8" r="M244"/>
      <c s="8" r="N244"/>
      <c s="8" r="O244"/>
      <c s="8" r="P244"/>
      <c s="8" r="Q244"/>
      <c s="8" r="R244"/>
      <c s="8" r="S244"/>
      <c s="8" r="T244"/>
      <c s="8" r="U244"/>
      <c s="8" r="V244"/>
      <c s="8" r="W244"/>
      <c s="8" r="X244"/>
      <c s="8" r="Y244"/>
      <c s="8" r="Z244"/>
      <c s="8" r="AA244"/>
    </row>
    <row r="245">
      <c t="s" s="7" r="A245">
        <v>849</v>
      </c>
      <c t="s" s="7" r="B245">
        <v>850</v>
      </c>
      <c t="s" s="7" r="C245">
        <v>851</v>
      </c>
      <c s="8" r="D245"/>
      <c s="8" r="E245"/>
      <c s="8" r="F245"/>
      <c s="8" r="G245"/>
      <c s="8" r="H245"/>
      <c s="8" r="I245"/>
      <c s="8" r="J245"/>
      <c s="8" r="K245"/>
      <c s="8" r="L245"/>
      <c s="8" r="M245"/>
      <c s="8" r="N245"/>
      <c s="8" r="O245"/>
      <c s="8" r="P245"/>
      <c s="8" r="Q245"/>
      <c s="8" r="R245"/>
      <c s="8" r="S245"/>
      <c s="8" r="T245"/>
      <c s="8" r="U245"/>
      <c s="8" r="V245"/>
      <c s="8" r="W245"/>
      <c s="8" r="X245"/>
      <c s="8" r="Y245"/>
      <c s="8" r="Z245"/>
      <c s="8" r="AA245"/>
    </row>
    <row r="246">
      <c t="s" s="7" r="A246">
        <v>852</v>
      </c>
      <c t="s" s="7" r="B246">
        <v>853</v>
      </c>
      <c t="s" s="7" r="C246">
        <v>854</v>
      </c>
      <c s="8" r="D246"/>
      <c s="8" r="E246"/>
      <c s="8" r="F246"/>
      <c s="8" r="G246"/>
      <c s="8" r="H246"/>
      <c s="8" r="I246"/>
      <c s="8" r="J246"/>
      <c s="8" r="K246"/>
      <c s="8" r="L246"/>
      <c s="8" r="M246"/>
      <c s="8" r="N246"/>
      <c s="8" r="O246"/>
      <c s="8" r="P246"/>
      <c s="8" r="Q246"/>
      <c s="8" r="R246"/>
      <c s="8" r="S246"/>
      <c s="8" r="T246"/>
      <c s="8" r="U246"/>
      <c s="8" r="V246"/>
      <c s="8" r="W246"/>
      <c s="8" r="X246"/>
      <c s="8" r="Y246"/>
      <c s="8" r="Z246"/>
      <c s="8" r="AA246"/>
    </row>
    <row r="247">
      <c t="s" s="7" r="A247">
        <v>855</v>
      </c>
      <c t="s" s="7" r="B247">
        <v>856</v>
      </c>
      <c t="s" s="7" r="C247">
        <v>857</v>
      </c>
      <c s="8" r="D247"/>
      <c s="8" r="E247"/>
      <c s="8" r="F247"/>
      <c s="8" r="G247"/>
      <c s="8" r="H247"/>
      <c s="8" r="I247"/>
      <c s="8" r="J247"/>
      <c s="8" r="K247"/>
      <c s="8" r="L247"/>
      <c s="8" r="M247"/>
      <c s="8" r="N247"/>
      <c s="8" r="O247"/>
      <c s="8" r="P247"/>
      <c s="8" r="Q247"/>
      <c s="8" r="R247"/>
      <c s="8" r="S247"/>
      <c s="8" r="T247"/>
      <c s="8" r="U247"/>
      <c s="8" r="V247"/>
      <c s="8" r="W247"/>
      <c s="8" r="X247"/>
      <c s="8" r="Y247"/>
      <c s="8" r="Z247"/>
      <c s="8" r="AA247"/>
    </row>
    <row r="248">
      <c t="s" s="7" r="A248">
        <v>858</v>
      </c>
      <c t="s" s="7" r="B248">
        <v>859</v>
      </c>
      <c t="s" s="7" r="C248">
        <v>860</v>
      </c>
      <c s="8" r="D248"/>
      <c s="8" r="E248"/>
      <c s="8" r="F248"/>
      <c s="8" r="G248"/>
      <c s="8" r="H248"/>
      <c s="8" r="I248"/>
      <c s="8" r="J248"/>
      <c s="8" r="K248"/>
      <c s="8" r="L248"/>
      <c s="8" r="M248"/>
      <c s="8" r="N248"/>
      <c s="8" r="O248"/>
      <c s="8" r="P248"/>
      <c s="8" r="Q248"/>
      <c s="8" r="R248"/>
      <c s="8" r="S248"/>
      <c s="8" r="T248"/>
      <c s="8" r="U248"/>
      <c s="8" r="V248"/>
      <c s="8" r="W248"/>
      <c s="8" r="X248"/>
      <c s="8" r="Y248"/>
      <c s="8" r="Z248"/>
      <c s="8" r="AA248"/>
    </row>
    <row r="249">
      <c t="s" s="7" r="A249">
        <v>861</v>
      </c>
      <c t="s" s="7" r="B249">
        <v>862</v>
      </c>
      <c t="s" s="7" r="C249">
        <v>863</v>
      </c>
      <c s="8" r="D249"/>
      <c s="8" r="E249"/>
      <c s="8" r="F249"/>
      <c s="8" r="G249"/>
      <c s="8" r="H249"/>
      <c s="8" r="I249"/>
      <c s="8" r="J249"/>
      <c s="8" r="K249"/>
      <c s="8" r="L249"/>
      <c s="8" r="M249"/>
      <c s="8" r="N249"/>
      <c s="8" r="O249"/>
      <c s="8" r="P249"/>
      <c s="8" r="Q249"/>
      <c s="8" r="R249"/>
      <c s="8" r="S249"/>
      <c s="8" r="T249"/>
      <c s="8" r="U249"/>
      <c s="8" r="V249"/>
      <c s="8" r="W249"/>
      <c s="8" r="X249"/>
      <c s="8" r="Y249"/>
      <c s="8" r="Z249"/>
      <c s="8" r="AA249"/>
    </row>
    <row r="250">
      <c t="s" s="7" r="A250">
        <v>864</v>
      </c>
      <c t="s" s="7" r="B250">
        <v>865</v>
      </c>
      <c t="s" s="7" r="C250">
        <v>866</v>
      </c>
      <c t="s" s="7" r="D250">
        <v>867</v>
      </c>
      <c t="str" s="9" r="E250">
        <f>HYPERLINK("https://twitter.com/Hot_Dog41","@Hot_Dog41")</f>
        <v>@Hot_Dog41</v>
      </c>
      <c t="str" s="9" r="F250">
        <f>HYPERLINK("http://instagram.com/hotdog_theintern","@Hotdog_TheIntern")</f>
        <v>@Hotdog_TheIntern</v>
      </c>
      <c s="8" r="G250"/>
      <c t="s" s="7" r="H250">
        <v>868</v>
      </c>
      <c t="s" s="7" r="I250">
        <v>869</v>
      </c>
      <c s="8" r="J250"/>
      <c s="8" r="K250"/>
      <c s="8" r="L250"/>
      <c s="8" r="M250"/>
      <c s="8" r="N250"/>
      <c s="8" r="O250"/>
      <c s="8" r="P250"/>
      <c s="8" r="Q250"/>
      <c s="8" r="R250"/>
      <c s="8" r="S250"/>
      <c s="8" r="T250"/>
      <c s="8" r="U250"/>
      <c s="8" r="V250"/>
      <c s="8" r="W250"/>
      <c s="8" r="X250"/>
      <c s="8" r="Y250"/>
      <c s="8" r="Z250"/>
      <c s="8" r="AA250"/>
    </row>
    <row r="251">
      <c t="s" s="7" r="A251">
        <v>870</v>
      </c>
      <c t="s" s="7" r="B251">
        <v>871</v>
      </c>
      <c t="s" s="7" r="C251">
        <v>872</v>
      </c>
      <c s="8" r="D251"/>
      <c s="8" r="E251"/>
      <c s="8" r="F251"/>
      <c s="8" r="G251"/>
      <c s="8" r="H251"/>
      <c s="8" r="I251"/>
      <c s="8" r="J251"/>
      <c s="8" r="K251"/>
      <c s="8" r="L251"/>
      <c s="8" r="M251"/>
      <c s="8" r="N251"/>
      <c s="8" r="O251"/>
      <c s="8" r="P251"/>
      <c s="8" r="Q251"/>
      <c s="8" r="R251"/>
      <c s="8" r="S251"/>
      <c s="8" r="T251"/>
      <c s="8" r="U251"/>
      <c s="8" r="V251"/>
      <c s="8" r="W251"/>
      <c s="8" r="X251"/>
      <c s="8" r="Y251"/>
      <c s="8" r="Z251"/>
      <c s="8" r="AA251"/>
    </row>
    <row r="252">
      <c t="s" s="7" r="A252">
        <v>873</v>
      </c>
      <c t="s" s="7" r="B252">
        <v>874</v>
      </c>
      <c t="s" s="7" r="C252">
        <v>875</v>
      </c>
      <c s="8" r="D252"/>
      <c s="8" r="E252"/>
      <c s="8" r="F252"/>
      <c s="8" r="G252"/>
      <c s="8" r="H252"/>
      <c s="8" r="I252"/>
      <c s="8" r="J252"/>
      <c s="8" r="K252"/>
      <c s="8" r="L252"/>
      <c s="8" r="M252"/>
      <c s="8" r="N252"/>
      <c s="8" r="O252"/>
      <c s="8" r="P252"/>
      <c s="8" r="Q252"/>
      <c s="8" r="R252"/>
      <c s="8" r="S252"/>
      <c s="8" r="T252"/>
      <c s="8" r="U252"/>
      <c s="8" r="V252"/>
      <c s="8" r="W252"/>
      <c s="8" r="X252"/>
      <c s="8" r="Y252"/>
      <c s="8" r="Z252"/>
      <c s="8" r="AA252"/>
    </row>
    <row r="253">
      <c t="s" s="7" r="A253">
        <v>876</v>
      </c>
      <c t="s" s="7" r="B253">
        <v>877</v>
      </c>
      <c t="s" s="7" r="C253">
        <v>878</v>
      </c>
      <c s="8" r="D253"/>
      <c s="8" r="E253"/>
      <c s="8" r="F253"/>
      <c s="8" r="G253"/>
      <c s="8" r="H253"/>
      <c s="8" r="I253"/>
      <c s="8" r="J253"/>
      <c s="8" r="K253"/>
      <c s="8" r="L253"/>
      <c s="8" r="M253"/>
      <c s="8" r="N253"/>
      <c s="8" r="O253"/>
      <c s="8" r="P253"/>
      <c s="8" r="Q253"/>
      <c s="8" r="R253"/>
      <c s="8" r="S253"/>
      <c s="8" r="T253"/>
      <c s="8" r="U253"/>
      <c s="8" r="V253"/>
      <c s="8" r="W253"/>
      <c s="8" r="X253"/>
      <c s="8" r="Y253"/>
      <c s="8" r="Z253"/>
      <c s="8" r="AA253"/>
    </row>
    <row r="254">
      <c t="s" s="7" r="A254">
        <v>879</v>
      </c>
      <c t="s" s="7" r="B254">
        <v>880</v>
      </c>
      <c t="s" s="7" r="C254">
        <v>881</v>
      </c>
      <c s="8" r="D254"/>
      <c s="8" r="E254"/>
      <c s="8" r="F254"/>
      <c s="8" r="G254"/>
      <c s="8" r="H254"/>
      <c s="8" r="I254"/>
      <c s="8" r="J254"/>
      <c s="8" r="K254"/>
      <c s="8" r="L254"/>
      <c s="8" r="M254"/>
      <c s="8" r="N254"/>
      <c s="8" r="O254"/>
      <c s="8" r="P254"/>
      <c s="8" r="Q254"/>
      <c s="8" r="R254"/>
      <c s="8" r="S254"/>
      <c s="8" r="T254"/>
      <c s="8" r="U254"/>
      <c s="8" r="V254"/>
      <c s="8" r="W254"/>
      <c s="8" r="X254"/>
      <c s="8" r="Y254"/>
      <c s="8" r="Z254"/>
      <c s="8" r="AA254"/>
    </row>
    <row r="255">
      <c t="s" s="7" r="A255">
        <v>882</v>
      </c>
      <c t="s" s="7" r="B255">
        <v>883</v>
      </c>
      <c t="s" s="7" r="C255">
        <v>884</v>
      </c>
      <c s="8" r="D255"/>
      <c s="8" r="E255"/>
      <c s="8" r="F255"/>
      <c s="8" r="G255"/>
      <c s="8" r="H255"/>
      <c s="8" r="I255"/>
      <c s="8" r="J255"/>
      <c s="8" r="K255"/>
      <c s="8" r="L255"/>
      <c s="8" r="M255"/>
      <c s="8" r="N255"/>
      <c s="8" r="O255"/>
      <c s="8" r="P255"/>
      <c s="8" r="Q255"/>
      <c s="8" r="R255"/>
      <c s="8" r="S255"/>
      <c s="8" r="T255"/>
      <c s="8" r="U255"/>
      <c s="8" r="V255"/>
      <c s="8" r="W255"/>
      <c s="8" r="X255"/>
      <c s="8" r="Y255"/>
      <c s="8" r="Z255"/>
      <c s="8" r="AA255"/>
    </row>
    <row r="256">
      <c t="s" s="7" r="A256">
        <v>885</v>
      </c>
      <c t="s" s="7" r="B256">
        <v>886</v>
      </c>
      <c t="s" s="7" r="C256">
        <v>887</v>
      </c>
      <c s="8" r="D256"/>
      <c s="8" r="E256"/>
      <c s="8" r="F256"/>
      <c s="8" r="G256"/>
      <c s="8" r="H256"/>
      <c s="8" r="I256"/>
      <c s="8" r="J256"/>
      <c s="8" r="K256"/>
      <c s="8" r="L256"/>
      <c s="8" r="M256"/>
      <c s="8" r="N256"/>
      <c s="8" r="O256"/>
      <c s="8" r="P256"/>
      <c s="8" r="Q256"/>
      <c s="8" r="R256"/>
      <c s="8" r="S256"/>
      <c s="8" r="T256"/>
      <c s="8" r="U256"/>
      <c s="8" r="V256"/>
      <c s="8" r="W256"/>
      <c s="8" r="X256"/>
      <c s="8" r="Y256"/>
      <c s="8" r="Z256"/>
      <c s="8" r="AA256"/>
    </row>
    <row r="257">
      <c t="s" s="7" r="A257">
        <v>888</v>
      </c>
      <c t="s" s="7" r="B257">
        <v>889</v>
      </c>
      <c t="s" s="7" r="C257">
        <v>890</v>
      </c>
      <c s="8" r="D257"/>
      <c s="8" r="E257"/>
      <c s="8" r="F257"/>
      <c s="8" r="G257"/>
      <c s="8" r="H257"/>
      <c s="8" r="I257"/>
      <c s="8" r="J257"/>
      <c s="8" r="K257"/>
      <c s="8" r="L257"/>
      <c s="8" r="M257"/>
      <c s="8" r="N257"/>
      <c s="8" r="O257"/>
      <c s="8" r="P257"/>
      <c s="8" r="Q257"/>
      <c s="8" r="R257"/>
      <c s="8" r="S257"/>
      <c s="8" r="T257"/>
      <c s="8" r="U257"/>
      <c s="8" r="V257"/>
      <c s="8" r="W257"/>
      <c s="8" r="X257"/>
      <c s="8" r="Y257"/>
      <c s="8" r="Z257"/>
      <c s="8" r="AA257"/>
    </row>
    <row r="258">
      <c t="s" s="7" r="A258">
        <v>891</v>
      </c>
      <c t="s" s="7" r="B258">
        <v>892</v>
      </c>
      <c t="s" s="7" r="C258">
        <v>893</v>
      </c>
      <c t="s" s="7" r="D258">
        <v>894</v>
      </c>
      <c t="str" s="9" r="E258">
        <f>HYPERLINK("https://twitter.com/Hyena_Fist","@Hyena_Fist")</f>
        <v>@Hyena_Fist</v>
      </c>
      <c t="str" s="9" r="F258">
        <f>HYPERLINK("http://instagram.com/hyena_fist74","@Hyena_Fist74")</f>
        <v>@Hyena_Fist74</v>
      </c>
      <c t="s" s="7" r="G258">
        <v>895</v>
      </c>
      <c s="8" r="H258"/>
      <c s="8" r="I258"/>
      <c s="8" r="J258"/>
      <c s="8" r="K258"/>
      <c s="8" r="L258"/>
      <c s="8" r="M258"/>
      <c s="8" r="N258"/>
      <c s="8" r="O258"/>
      <c s="8" r="P258"/>
      <c s="8" r="Q258"/>
      <c s="8" r="R258"/>
      <c s="8" r="S258"/>
      <c s="8" r="T258"/>
      <c s="8" r="U258"/>
      <c s="8" r="V258"/>
      <c s="8" r="W258"/>
      <c s="8" r="X258"/>
      <c s="8" r="Y258"/>
      <c s="8" r="Z258"/>
      <c s="8" r="AA258"/>
    </row>
    <row r="259">
      <c t="s" s="7" r="A259">
        <v>896</v>
      </c>
      <c t="s" s="7" r="B259">
        <v>897</v>
      </c>
      <c t="s" s="7" r="C259">
        <v>898</v>
      </c>
      <c s="8" r="D259"/>
      <c s="8" r="E259"/>
      <c s="8" r="F259"/>
      <c s="8" r="G259"/>
      <c s="8" r="H259"/>
      <c s="8" r="I259"/>
      <c s="8" r="J259"/>
      <c s="8" r="K259"/>
      <c s="8" r="L259"/>
      <c s="8" r="M259"/>
      <c s="8" r="N259"/>
      <c s="8" r="O259"/>
      <c s="8" r="P259"/>
      <c s="8" r="Q259"/>
      <c s="8" r="R259"/>
      <c s="8" r="S259"/>
      <c s="8" r="T259"/>
      <c s="8" r="U259"/>
      <c s="8" r="V259"/>
      <c s="8" r="W259"/>
      <c s="8" r="X259"/>
      <c s="8" r="Y259"/>
      <c s="8" r="Z259"/>
      <c s="8" r="AA259"/>
    </row>
    <row r="260">
      <c t="s" s="7" r="A260">
        <v>899</v>
      </c>
      <c t="s" s="7" r="B260">
        <v>900</v>
      </c>
      <c t="s" s="7" r="C260">
        <v>901</v>
      </c>
      <c t="s" s="7" r="D260">
        <v>902</v>
      </c>
      <c t="str" s="9" r="E260">
        <f>HYPERLINK("https://twitter.com/spryguy25","@spryguy25")</f>
        <v>@spryguy25</v>
      </c>
      <c s="8" r="F260"/>
      <c t="s" s="7" r="G260">
        <v>903</v>
      </c>
      <c s="8" r="H260"/>
      <c s="8" r="I260"/>
      <c s="8" r="J260"/>
      <c s="8" r="K260"/>
      <c s="8" r="L260"/>
      <c s="8" r="M260"/>
      <c s="8" r="N260"/>
      <c s="8" r="O260"/>
      <c s="8" r="P260"/>
      <c s="8" r="Q260"/>
      <c s="8" r="R260"/>
      <c s="8" r="S260"/>
      <c s="8" r="T260"/>
      <c s="8" r="U260"/>
      <c s="8" r="V260"/>
      <c s="8" r="W260"/>
      <c s="8" r="X260"/>
      <c s="8" r="Y260"/>
      <c s="8" r="Z260"/>
      <c s="8" r="AA260"/>
    </row>
    <row r="261">
      <c t="s" s="7" r="A261">
        <v>904</v>
      </c>
      <c t="s" s="7" r="B261">
        <v>905</v>
      </c>
      <c t="s" s="7" r="C261">
        <v>906</v>
      </c>
      <c s="8" r="D261"/>
      <c s="8" r="E261"/>
      <c s="8" r="F261"/>
      <c s="8" r="G261"/>
      <c s="8" r="H261"/>
      <c s="8" r="I261"/>
      <c s="8" r="J261"/>
      <c s="8" r="K261"/>
      <c s="8" r="L261"/>
      <c s="8" r="M261"/>
      <c s="8" r="N261"/>
      <c s="8" r="O261"/>
      <c s="8" r="P261"/>
      <c s="8" r="Q261"/>
      <c s="8" r="R261"/>
      <c s="8" r="S261"/>
      <c s="8" r="T261"/>
      <c s="8" r="U261"/>
      <c s="8" r="V261"/>
      <c s="8" r="W261"/>
      <c s="8" r="X261"/>
      <c s="8" r="Y261"/>
      <c s="8" r="Z261"/>
      <c s="8" r="AA261"/>
    </row>
    <row r="262">
      <c t="s" s="7" r="A262">
        <v>907</v>
      </c>
      <c t="s" s="7" r="B262">
        <v>908</v>
      </c>
      <c t="s" s="7" r="C262">
        <v>909</v>
      </c>
      <c s="8" r="D262"/>
      <c s="8" r="E262"/>
      <c s="8" r="F262"/>
      <c s="8" r="G262"/>
      <c s="8" r="H262"/>
      <c s="8" r="I262"/>
      <c s="8" r="J262"/>
      <c s="8" r="K262"/>
      <c s="8" r="L262"/>
      <c s="8" r="M262"/>
      <c s="8" r="N262"/>
      <c s="8" r="O262"/>
      <c s="8" r="P262"/>
      <c s="8" r="Q262"/>
      <c s="8" r="R262"/>
      <c s="8" r="S262"/>
      <c s="8" r="T262"/>
      <c s="8" r="U262"/>
      <c s="8" r="V262"/>
      <c s="8" r="W262"/>
      <c s="8" r="X262"/>
      <c s="8" r="Y262"/>
      <c s="8" r="Z262"/>
      <c s="8" r="AA262"/>
    </row>
    <row r="263">
      <c t="s" s="7" r="A263">
        <v>910</v>
      </c>
      <c t="s" s="7" r="B263">
        <v>911</v>
      </c>
      <c t="s" s="7" r="C263">
        <v>912</v>
      </c>
      <c s="8" r="D263"/>
      <c s="8" r="E263"/>
      <c s="8" r="F263"/>
      <c s="8" r="G263"/>
      <c s="8" r="H263"/>
      <c s="8" r="I263"/>
      <c s="8" r="J263"/>
      <c s="8" r="K263"/>
      <c s="8" r="L263"/>
      <c s="8" r="M263"/>
      <c s="8" r="N263"/>
      <c s="8" r="O263"/>
      <c s="8" r="P263"/>
      <c s="8" r="Q263"/>
      <c s="8" r="R263"/>
      <c s="8" r="S263"/>
      <c s="8" r="T263"/>
      <c s="8" r="U263"/>
      <c s="8" r="V263"/>
      <c s="8" r="W263"/>
      <c s="8" r="X263"/>
      <c s="8" r="Y263"/>
      <c s="8" r="Z263"/>
      <c s="8" r="AA263"/>
    </row>
    <row r="264">
      <c t="s" s="7" r="A264">
        <v>913</v>
      </c>
      <c t="s" s="7" r="B264">
        <v>914</v>
      </c>
      <c t="s" s="7" r="C264">
        <v>915</v>
      </c>
      <c t="s" s="7" r="D264">
        <v>916</v>
      </c>
      <c t="str" s="9" r="E264">
        <f>HYPERLINK("https://twitter.com/azkellie","@AZKellie")</f>
        <v>@AZKellie</v>
      </c>
      <c t="str" s="9" r="F264">
        <f>HYPERLINK("http://instagram.com/azkellie","@AZKellie")</f>
        <v>@AZKellie</v>
      </c>
      <c s="8" r="G264"/>
      <c t="s" s="7" r="H264">
        <v>917</v>
      </c>
      <c s="8" r="I264"/>
      <c s="8" r="J264"/>
      <c s="8" r="K264"/>
      <c s="8" r="L264"/>
      <c s="8" r="M264"/>
      <c s="8" r="N264"/>
      <c s="8" r="O264"/>
      <c s="8" r="P264"/>
      <c s="8" r="Q264"/>
      <c s="8" r="R264"/>
      <c s="8" r="S264"/>
      <c s="8" r="T264"/>
      <c s="8" r="U264"/>
      <c s="8" r="V264"/>
      <c s="8" r="W264"/>
      <c s="8" r="X264"/>
      <c s="8" r="Y264"/>
      <c s="8" r="Z264"/>
      <c s="8" r="AA264"/>
    </row>
    <row r="265">
      <c t="s" s="7" r="A265">
        <v>918</v>
      </c>
      <c t="s" s="7" r="B265">
        <v>919</v>
      </c>
      <c t="s" s="7" r="C265">
        <v>920</v>
      </c>
      <c s="8" r="D265"/>
      <c s="8" r="E265"/>
      <c s="8" r="F265"/>
      <c s="8" r="G265"/>
      <c s="8" r="H265"/>
      <c s="8" r="I265"/>
      <c s="8" r="J265"/>
      <c s="8" r="K265"/>
      <c s="8" r="L265"/>
      <c s="8" r="M265"/>
      <c s="8" r="N265"/>
      <c s="8" r="O265"/>
      <c s="8" r="P265"/>
      <c s="8" r="Q265"/>
      <c s="8" r="R265"/>
      <c s="8" r="S265"/>
      <c s="8" r="T265"/>
      <c s="8" r="U265"/>
      <c s="8" r="V265"/>
      <c s="8" r="W265"/>
      <c s="8" r="X265"/>
      <c s="8" r="Y265"/>
      <c s="8" r="Z265"/>
      <c s="8" r="AA265"/>
    </row>
    <row r="266">
      <c t="s" s="7" r="A266">
        <v>921</v>
      </c>
      <c t="s" s="7" r="B266">
        <v>922</v>
      </c>
      <c t="s" s="7" r="C266">
        <v>923</v>
      </c>
      <c s="8" r="D266"/>
      <c s="8" r="E266"/>
      <c s="8" r="F266"/>
      <c s="8" r="G266"/>
      <c s="8" r="H266"/>
      <c s="8" r="I266"/>
      <c s="8" r="J266"/>
      <c s="8" r="K266"/>
      <c s="8" r="L266"/>
      <c s="8" r="M266"/>
      <c s="8" r="N266"/>
      <c s="8" r="O266"/>
      <c s="8" r="P266"/>
      <c s="8" r="Q266"/>
      <c s="8" r="R266"/>
      <c s="8" r="S266"/>
      <c s="8" r="T266"/>
      <c s="8" r="U266"/>
      <c s="8" r="V266"/>
      <c s="8" r="W266"/>
      <c s="8" r="X266"/>
      <c s="8" r="Y266"/>
      <c s="8" r="Z266"/>
      <c s="8" r="AA266"/>
    </row>
    <row r="267">
      <c t="s" s="7" r="A267">
        <v>924</v>
      </c>
      <c t="s" s="7" r="B267">
        <v>925</v>
      </c>
      <c t="s" s="7" r="C267">
        <v>926</v>
      </c>
      <c s="8" r="D267"/>
      <c s="8" r="E267"/>
      <c s="8" r="F267"/>
      <c s="8" r="G267"/>
      <c s="8" r="H267"/>
      <c s="8" r="I267"/>
      <c s="8" r="J267"/>
      <c s="8" r="K267"/>
      <c s="8" r="L267"/>
      <c s="8" r="M267"/>
      <c s="8" r="N267"/>
      <c s="8" r="O267"/>
      <c s="8" r="P267"/>
      <c s="8" r="Q267"/>
      <c s="8" r="R267"/>
      <c s="8" r="S267"/>
      <c s="8" r="T267"/>
      <c s="8" r="U267"/>
      <c s="8" r="V267"/>
      <c s="8" r="W267"/>
      <c s="8" r="X267"/>
      <c s="8" r="Y267"/>
      <c s="8" r="Z267"/>
      <c s="8" r="AA267"/>
    </row>
    <row r="268">
      <c t="s" s="7" r="A268">
        <v>927</v>
      </c>
      <c t="s" s="7" r="B268">
        <v>928</v>
      </c>
      <c t="s" s="7" r="C268">
        <v>929</v>
      </c>
      <c s="8" r="D268"/>
      <c s="8" r="E268"/>
      <c s="8" r="F268"/>
      <c s="8" r="G268"/>
      <c s="8" r="H268"/>
      <c s="8" r="I268"/>
      <c s="8" r="J268"/>
      <c s="8" r="K268"/>
      <c s="8" r="L268"/>
      <c s="8" r="M268"/>
      <c s="8" r="N268"/>
      <c s="8" r="O268"/>
      <c s="8" r="P268"/>
      <c s="8" r="Q268"/>
      <c s="8" r="R268"/>
      <c s="8" r="S268"/>
      <c s="8" r="T268"/>
      <c s="8" r="U268"/>
      <c s="8" r="V268"/>
      <c s="8" r="W268"/>
      <c s="8" r="X268"/>
      <c s="8" r="Y268"/>
      <c s="8" r="Z268"/>
      <c s="8" r="AA268"/>
    </row>
    <row r="269">
      <c t="s" s="7" r="A269">
        <v>930</v>
      </c>
      <c t="s" s="7" r="B269">
        <v>931</v>
      </c>
      <c t="s" s="7" r="C269">
        <v>932</v>
      </c>
      <c t="s" s="7" r="D269">
        <v>933</v>
      </c>
      <c t="str" s="9" r="E269">
        <f>HYPERLINK("https://twitter.com/mauibry","@mauibry")</f>
        <v>@mauibry</v>
      </c>
      <c t="str" s="9" r="F269">
        <f>HYPERLINK("http://instagram.com/mauibry","@mauibry")</f>
        <v>@mauibry</v>
      </c>
      <c s="8" r="G269"/>
      <c s="8" r="H269"/>
      <c s="8" r="I269"/>
      <c s="8" r="J269"/>
      <c s="8" r="K269"/>
      <c s="8" r="L269"/>
      <c s="8" r="M269"/>
      <c s="8" r="N269"/>
      <c s="8" r="O269"/>
      <c s="8" r="P269"/>
      <c s="8" r="Q269"/>
      <c s="8" r="R269"/>
      <c s="8" r="S269"/>
      <c s="8" r="T269"/>
      <c s="8" r="U269"/>
      <c s="8" r="V269"/>
      <c s="8" r="W269"/>
      <c s="8" r="X269"/>
      <c s="8" r="Y269"/>
      <c s="8" r="Z269"/>
      <c s="8" r="AA269"/>
    </row>
    <row r="270">
      <c t="s" s="7" r="A270">
        <v>934</v>
      </c>
      <c t="s" s="7" r="B270">
        <v>935</v>
      </c>
      <c t="s" s="7" r="C270">
        <v>936</v>
      </c>
      <c s="8" r="D270"/>
      <c s="8" r="E270"/>
      <c s="8" r="F270"/>
      <c s="8" r="G270"/>
      <c s="8" r="H270"/>
      <c s="8" r="I270"/>
      <c s="8" r="J270"/>
      <c s="8" r="K270"/>
      <c s="8" r="L270"/>
      <c s="8" r="M270"/>
      <c s="8" r="N270"/>
      <c s="8" r="O270"/>
      <c s="8" r="P270"/>
      <c s="8" r="Q270"/>
      <c s="8" r="R270"/>
      <c s="8" r="S270"/>
      <c s="8" r="T270"/>
      <c s="8" r="U270"/>
      <c s="8" r="V270"/>
      <c s="8" r="W270"/>
      <c s="8" r="X270"/>
      <c s="8" r="Y270"/>
      <c s="8" r="Z270"/>
      <c s="8" r="AA270"/>
    </row>
    <row r="271">
      <c t="s" s="7" r="A271">
        <v>937</v>
      </c>
      <c t="s" s="7" r="B271">
        <v>938</v>
      </c>
      <c t="s" s="7" r="C271">
        <v>939</v>
      </c>
      <c s="8" r="D271"/>
      <c s="8" r="E271"/>
      <c s="8" r="F271"/>
      <c s="8" r="G271"/>
      <c s="8" r="H271"/>
      <c s="8" r="I271"/>
      <c s="8" r="J271"/>
      <c s="8" r="K271"/>
      <c s="8" r="L271"/>
      <c s="8" r="M271"/>
      <c s="8" r="N271"/>
      <c s="8" r="O271"/>
      <c s="8" r="P271"/>
      <c s="8" r="Q271"/>
      <c s="8" r="R271"/>
      <c s="8" r="S271"/>
      <c s="8" r="T271"/>
      <c s="8" r="U271"/>
      <c s="8" r="V271"/>
      <c s="8" r="W271"/>
      <c s="8" r="X271"/>
      <c s="8" r="Y271"/>
      <c s="8" r="Z271"/>
      <c s="8" r="AA271"/>
    </row>
    <row r="272">
      <c t="s" s="7" r="A272">
        <v>940</v>
      </c>
      <c t="s" s="7" r="B272">
        <v>941</v>
      </c>
      <c t="s" s="7" r="C272">
        <v>942</v>
      </c>
      <c t="s" s="7" r="D272">
        <v>943</v>
      </c>
      <c t="str" s="9" r="E272">
        <f>HYPERLINK("https://twitter.com/RadioJetta","@RadioJetta")</f>
        <v>@RadioJetta</v>
      </c>
      <c t="str" s="9" r="F272">
        <f>HYPERLINK("http://instagram.com/radiojetta","@RadioJetta")</f>
        <v>@RadioJetta</v>
      </c>
      <c t="s" s="7" r="G272">
        <v>944</v>
      </c>
      <c s="7" r="H272"/>
      <c t="s" s="7" r="I272">
        <v>945</v>
      </c>
      <c s="8" r="J272"/>
      <c s="8" r="K272"/>
      <c s="8" r="L272"/>
      <c s="8" r="M272"/>
      <c s="8" r="N272"/>
      <c s="8" r="O272"/>
      <c s="8" r="P272"/>
      <c s="8" r="Q272"/>
      <c s="8" r="R272"/>
      <c s="8" r="S272"/>
      <c s="8" r="T272"/>
      <c s="8" r="U272"/>
      <c s="8" r="V272"/>
      <c s="8" r="W272"/>
      <c s="8" r="X272"/>
      <c s="8" r="Y272"/>
      <c s="8" r="Z272"/>
      <c s="8" r="AA272"/>
    </row>
    <row r="273">
      <c t="s" s="7" r="A273">
        <v>946</v>
      </c>
      <c t="s" s="7" r="B273">
        <v>947</v>
      </c>
      <c t="s" s="7" r="C273">
        <v>948</v>
      </c>
      <c s="8" r="D273"/>
      <c s="8" r="E273"/>
      <c s="8" r="F273"/>
      <c s="8" r="G273"/>
      <c s="8" r="H273"/>
      <c s="8" r="I273"/>
      <c s="8" r="J273"/>
      <c s="8" r="K273"/>
      <c s="8" r="L273"/>
      <c s="8" r="M273"/>
      <c s="8" r="N273"/>
      <c s="8" r="O273"/>
      <c s="8" r="P273"/>
      <c s="8" r="Q273"/>
      <c s="8" r="R273"/>
      <c s="8" r="S273"/>
      <c s="8" r="T273"/>
      <c s="8" r="U273"/>
      <c s="8" r="V273"/>
      <c s="8" r="W273"/>
      <c s="8" r="X273"/>
      <c s="8" r="Y273"/>
      <c s="8" r="Z273"/>
      <c s="8" r="AA273"/>
    </row>
    <row r="274">
      <c t="s" s="13" r="A274">
        <v>949</v>
      </c>
      <c t="s" s="13" r="B274">
        <v>950</v>
      </c>
      <c t="s" s="13" r="C274">
        <v>951</v>
      </c>
      <c t="s" s="13" r="D274">
        <v>952</v>
      </c>
      <c t="str" s="14" r="E274">
        <f>HYPERLINK("https://twitter.com/leebunting","@leebunting")</f>
        <v>@leebunting</v>
      </c>
      <c t="str" s="14" r="F274">
        <f>HYPERLINK("http://instagram.com/leebunting","@leebunting")</f>
        <v>@leebunting</v>
      </c>
      <c t="s" s="13" r="G274">
        <v>953</v>
      </c>
      <c s="13" r="H274"/>
      <c s="8" r="I274"/>
      <c s="8" r="J274"/>
      <c s="8" r="K274"/>
      <c s="8" r="L274"/>
      <c s="8" r="M274"/>
      <c s="8" r="N274"/>
      <c s="8" r="O274"/>
      <c s="8" r="P274"/>
      <c s="8" r="Q274"/>
      <c s="8" r="R274"/>
      <c s="8" r="S274"/>
      <c s="8" r="T274"/>
      <c s="8" r="U274"/>
      <c s="8" r="V274"/>
      <c s="8" r="W274"/>
      <c s="8" r="X274"/>
      <c s="8" r="Y274"/>
      <c s="8" r="Z274"/>
      <c s="8" r="AA274"/>
    </row>
    <row r="275">
      <c t="s" s="13" r="A275">
        <v>954</v>
      </c>
      <c t="s" s="13" r="B275">
        <v>955</v>
      </c>
      <c t="s" s="13" r="C275">
        <v>956</v>
      </c>
      <c t="s" s="13" r="D275">
        <v>957</v>
      </c>
      <c s="15" r="E275"/>
      <c t="str" s="14" r="F275">
        <f>HYPERLINK("http://instagram.com/deadletters/","@deadletters")</f>
        <v>@deadletters</v>
      </c>
      <c t="s" s="13" r="G275">
        <v>958</v>
      </c>
      <c t="s" s="13" r="H275">
        <v>959</v>
      </c>
      <c s="8" r="I275"/>
      <c s="8" r="J275"/>
      <c s="8" r="K275"/>
      <c s="8" r="L275"/>
      <c s="8" r="M275"/>
      <c s="8" r="N275"/>
      <c s="8" r="O275"/>
      <c s="8" r="P275"/>
      <c s="8" r="Q275"/>
      <c s="8" r="R275"/>
      <c s="8" r="S275"/>
      <c s="8" r="T275"/>
      <c s="8" r="U275"/>
      <c s="8" r="V275"/>
      <c s="8" r="W275"/>
      <c s="8" r="X275"/>
      <c s="8" r="Y275"/>
      <c s="8" r="Z275"/>
      <c s="8" r="AA275"/>
    </row>
    <row r="276">
      <c t="s" s="7" r="A276">
        <v>960</v>
      </c>
      <c t="s" s="7" r="B276">
        <v>961</v>
      </c>
      <c t="s" s="7" r="C276">
        <v>962</v>
      </c>
      <c s="8" r="D276"/>
      <c s="8" r="E276"/>
      <c s="8" r="F276"/>
      <c s="8" r="G276"/>
      <c s="8" r="H276"/>
      <c s="8" r="I276"/>
      <c s="8" r="J276"/>
      <c s="8" r="K276"/>
      <c s="8" r="L276"/>
      <c s="8" r="M276"/>
      <c s="8" r="N276"/>
      <c s="8" r="O276"/>
      <c s="8" r="P276"/>
      <c s="8" r="Q276"/>
      <c s="8" r="R276"/>
      <c s="8" r="S276"/>
      <c s="8" r="T276"/>
      <c s="8" r="U276"/>
      <c s="8" r="V276"/>
      <c s="8" r="W276"/>
      <c s="8" r="X276"/>
      <c s="8" r="Y276"/>
      <c s="8" r="Z276"/>
      <c s="8" r="AA276"/>
    </row>
    <row r="277">
      <c t="s" s="7" r="A277">
        <v>963</v>
      </c>
      <c t="s" s="7" r="B277">
        <v>964</v>
      </c>
      <c t="s" s="7" r="C277">
        <v>965</v>
      </c>
      <c s="8" r="D277"/>
      <c s="8" r="E277"/>
      <c s="8" r="F277"/>
      <c s="8" r="G277"/>
      <c s="8" r="H277"/>
      <c s="8" r="I277"/>
      <c s="8" r="J277"/>
      <c s="8" r="K277"/>
      <c s="8" r="L277"/>
      <c s="8" r="M277"/>
      <c s="8" r="N277"/>
      <c s="8" r="O277"/>
      <c s="8" r="P277"/>
      <c s="8" r="Q277"/>
      <c s="8" r="R277"/>
      <c s="8" r="S277"/>
      <c s="8" r="T277"/>
      <c s="8" r="U277"/>
      <c s="8" r="V277"/>
      <c s="8" r="W277"/>
      <c s="8" r="X277"/>
      <c s="8" r="Y277"/>
      <c s="8" r="Z277"/>
      <c s="8" r="AA277"/>
    </row>
    <row r="278">
      <c t="s" s="7" r="A278">
        <v>966</v>
      </c>
      <c t="s" s="7" r="B278">
        <v>967</v>
      </c>
      <c t="s" s="7" r="C278">
        <v>968</v>
      </c>
      <c t="s" s="7" r="D278">
        <v>969</v>
      </c>
      <c t="str" s="9" r="E278">
        <f>HYPERLINK("https://twitter.com/johninhouston","@JohnInHouston")</f>
        <v>@JohnInHouston</v>
      </c>
      <c t="str" s="9" r="F278">
        <f>HYPERLINK("http://instagram.com/johninhouston","@JohnInHouston")</f>
        <v>@JohnInHouston</v>
      </c>
      <c t="s" s="7" r="G278">
        <v>970</v>
      </c>
      <c t="s" s="7" r="H278">
        <v>971</v>
      </c>
      <c s="8" r="I278"/>
      <c s="8" r="J278"/>
      <c s="8" r="K278"/>
      <c s="8" r="L278"/>
      <c s="8" r="M278"/>
      <c s="8" r="N278"/>
      <c s="8" r="O278"/>
      <c s="8" r="P278"/>
      <c s="8" r="Q278"/>
      <c s="8" r="R278"/>
      <c s="8" r="S278"/>
      <c s="8" r="T278"/>
      <c s="8" r="U278"/>
      <c s="8" r="V278"/>
      <c s="8" r="W278"/>
      <c s="8" r="X278"/>
      <c s="8" r="Y278"/>
      <c s="8" r="Z278"/>
      <c s="8" r="AA278"/>
    </row>
    <row r="279">
      <c t="s" s="7" r="A279">
        <v>972</v>
      </c>
      <c t="s" s="7" r="B279">
        <v>973</v>
      </c>
      <c t="s" s="7" r="C279">
        <v>974</v>
      </c>
      <c s="8" r="D279"/>
      <c s="8" r="E279"/>
      <c s="8" r="F279"/>
      <c s="8" r="G279"/>
      <c s="8" r="H279"/>
      <c s="8" r="I279"/>
      <c s="8" r="J279"/>
      <c s="8" r="K279"/>
      <c s="8" r="L279"/>
      <c s="8" r="M279"/>
      <c s="8" r="N279"/>
      <c s="8" r="O279"/>
      <c s="8" r="P279"/>
      <c s="8" r="Q279"/>
      <c s="8" r="R279"/>
      <c s="8" r="S279"/>
      <c s="8" r="T279"/>
      <c s="8" r="U279"/>
      <c s="8" r="V279"/>
      <c s="8" r="W279"/>
      <c s="8" r="X279"/>
      <c s="8" r="Y279"/>
      <c s="8" r="Z279"/>
      <c s="8" r="AA279"/>
    </row>
    <row r="280">
      <c t="s" s="7" r="A280">
        <v>975</v>
      </c>
      <c t="s" s="7" r="B280">
        <v>976</v>
      </c>
      <c t="s" s="7" r="C280">
        <v>977</v>
      </c>
      <c s="8" r="D280"/>
      <c s="8" r="E280"/>
      <c s="8" r="F280"/>
      <c s="8" r="G280"/>
      <c s="8" r="H280"/>
      <c s="8" r="I280"/>
      <c s="8" r="J280"/>
      <c s="8" r="K280"/>
      <c s="8" r="L280"/>
      <c s="8" r="M280"/>
      <c s="8" r="N280"/>
      <c s="8" r="O280"/>
      <c s="8" r="P280"/>
      <c s="8" r="Q280"/>
      <c s="8" r="R280"/>
      <c s="8" r="S280"/>
      <c s="8" r="T280"/>
      <c s="8" r="U280"/>
      <c s="8" r="V280"/>
      <c s="8" r="W280"/>
      <c s="8" r="X280"/>
      <c s="8" r="Y280"/>
      <c s="8" r="Z280"/>
      <c s="8" r="AA280"/>
    </row>
    <row r="281">
      <c t="s" s="7" r="A281">
        <v>978</v>
      </c>
      <c t="s" s="7" r="B281">
        <v>979</v>
      </c>
      <c t="s" s="7" r="C281">
        <v>980</v>
      </c>
      <c s="8" r="D281"/>
      <c s="8" r="E281"/>
      <c s="8" r="F281"/>
      <c s="8" r="G281"/>
      <c s="8" r="H281"/>
      <c s="8" r="I281"/>
      <c s="8" r="J281"/>
      <c s="8" r="K281"/>
      <c s="8" r="L281"/>
      <c s="8" r="M281"/>
      <c s="8" r="N281"/>
      <c s="8" r="O281"/>
      <c s="8" r="P281"/>
      <c s="8" r="Q281"/>
      <c s="8" r="R281"/>
      <c s="8" r="S281"/>
      <c s="8" r="T281"/>
      <c s="8" r="U281"/>
      <c s="8" r="V281"/>
      <c s="8" r="W281"/>
      <c s="8" r="X281"/>
      <c s="8" r="Y281"/>
      <c s="8" r="Z281"/>
      <c s="8" r="AA281"/>
    </row>
    <row r="282">
      <c t="s" s="7" r="A282">
        <v>981</v>
      </c>
      <c t="s" s="7" r="B282">
        <v>982</v>
      </c>
      <c t="s" s="7" r="C282">
        <v>983</v>
      </c>
      <c s="8" r="D282"/>
      <c s="8" r="E282"/>
      <c s="8" r="F282"/>
      <c s="8" r="G282"/>
      <c s="8" r="H282"/>
      <c s="8" r="I282"/>
      <c s="8" r="J282"/>
      <c s="8" r="K282"/>
      <c s="8" r="L282"/>
      <c s="8" r="M282"/>
      <c s="8" r="N282"/>
      <c s="8" r="O282"/>
      <c s="8" r="P282"/>
      <c s="8" r="Q282"/>
      <c s="8" r="R282"/>
      <c s="8" r="S282"/>
      <c s="8" r="T282"/>
      <c s="8" r="U282"/>
      <c s="8" r="V282"/>
      <c s="8" r="W282"/>
      <c s="8" r="X282"/>
      <c s="8" r="Y282"/>
      <c s="8" r="Z282"/>
      <c s="8" r="AA282"/>
    </row>
    <row r="283">
      <c t="s" s="7" r="A283">
        <v>984</v>
      </c>
      <c t="s" s="7" r="B283">
        <v>985</v>
      </c>
      <c t="s" s="7" r="C283">
        <v>986</v>
      </c>
      <c s="8" r="D283"/>
      <c s="8" r="E283"/>
      <c s="8" r="F283"/>
      <c s="8" r="G283"/>
      <c s="8" r="H283"/>
      <c s="8" r="I283"/>
      <c s="8" r="J283"/>
      <c s="8" r="K283"/>
      <c s="8" r="L283"/>
      <c s="8" r="M283"/>
      <c s="8" r="N283"/>
      <c s="8" r="O283"/>
      <c s="8" r="P283"/>
      <c s="8" r="Q283"/>
      <c s="8" r="R283"/>
      <c s="8" r="S283"/>
      <c s="8" r="T283"/>
      <c s="8" r="U283"/>
      <c s="8" r="V283"/>
      <c s="8" r="W283"/>
      <c s="8" r="X283"/>
      <c s="8" r="Y283"/>
      <c s="8" r="Z283"/>
      <c s="8" r="AA283"/>
    </row>
    <row r="284">
      <c t="s" s="7" r="A284">
        <v>987</v>
      </c>
      <c t="s" s="7" r="B284">
        <v>988</v>
      </c>
      <c t="s" s="7" r="C284">
        <v>989</v>
      </c>
      <c s="8" r="D284"/>
      <c s="8" r="E284"/>
      <c s="8" r="F284"/>
      <c s="8" r="G284"/>
      <c s="8" r="H284"/>
      <c s="8" r="I284"/>
      <c s="8" r="J284"/>
      <c s="8" r="K284"/>
      <c s="8" r="L284"/>
      <c s="8" r="M284"/>
      <c s="8" r="N284"/>
      <c s="8" r="O284"/>
      <c s="8" r="P284"/>
      <c s="8" r="Q284"/>
      <c s="8" r="R284"/>
      <c s="8" r="S284"/>
      <c s="8" r="T284"/>
      <c s="8" r="U284"/>
      <c s="8" r="V284"/>
      <c s="8" r="W284"/>
      <c s="8" r="X284"/>
      <c s="8" r="Y284"/>
      <c s="8" r="Z284"/>
      <c s="8" r="AA284"/>
    </row>
    <row r="285">
      <c t="s" s="7" r="A285">
        <v>990</v>
      </c>
      <c t="s" s="7" r="B285">
        <v>991</v>
      </c>
      <c t="s" s="7" r="C285">
        <v>992</v>
      </c>
      <c s="8" r="D285"/>
      <c s="8" r="E285"/>
      <c s="8" r="F285"/>
      <c s="8" r="G285"/>
      <c s="8" r="H285"/>
      <c s="8" r="I285"/>
      <c s="8" r="J285"/>
      <c s="8" r="K285"/>
      <c s="8" r="L285"/>
      <c s="8" r="M285"/>
      <c s="8" r="N285"/>
      <c s="8" r="O285"/>
      <c s="8" r="P285"/>
      <c s="8" r="Q285"/>
      <c s="8" r="R285"/>
      <c s="8" r="S285"/>
      <c s="8" r="T285"/>
      <c s="8" r="U285"/>
      <c s="8" r="V285"/>
      <c s="8" r="W285"/>
      <c s="8" r="X285"/>
      <c s="8" r="Y285"/>
      <c s="8" r="Z285"/>
      <c s="8" r="AA285"/>
    </row>
    <row r="286">
      <c t="s" s="7" r="A286">
        <v>993</v>
      </c>
      <c t="s" s="7" r="B286">
        <v>994</v>
      </c>
      <c t="s" s="7" r="C286">
        <v>995</v>
      </c>
      <c t="s" s="7" r="D286">
        <v>996</v>
      </c>
      <c s="8" r="E286"/>
      <c s="8" r="F286"/>
      <c s="8" r="G286"/>
      <c s="8" r="H286"/>
      <c s="8" r="I286"/>
      <c s="8" r="J286"/>
      <c s="8" r="K286"/>
      <c s="8" r="L286"/>
      <c s="8" r="M286"/>
      <c s="8" r="N286"/>
      <c s="8" r="O286"/>
      <c s="8" r="P286"/>
      <c s="8" r="Q286"/>
      <c s="8" r="R286"/>
      <c s="8" r="S286"/>
      <c s="8" r="T286"/>
      <c s="8" r="U286"/>
      <c s="8" r="V286"/>
      <c s="8" r="W286"/>
      <c s="8" r="X286"/>
      <c s="8" r="Y286"/>
      <c s="8" r="Z286"/>
      <c s="8" r="AA286"/>
    </row>
    <row r="287">
      <c t="s" s="7" r="A287">
        <v>997</v>
      </c>
      <c t="s" s="7" r="B287">
        <v>998</v>
      </c>
      <c t="s" s="7" r="C287">
        <v>999</v>
      </c>
      <c s="8" r="D287"/>
      <c s="8" r="E287"/>
      <c s="8" r="F287"/>
      <c s="8" r="G287"/>
      <c s="8" r="H287"/>
      <c s="8" r="I287"/>
      <c s="8" r="J287"/>
      <c s="8" r="K287"/>
      <c s="8" r="L287"/>
      <c s="8" r="M287"/>
      <c s="8" r="N287"/>
      <c s="8" r="O287"/>
      <c s="8" r="P287"/>
      <c s="8" r="Q287"/>
      <c s="8" r="R287"/>
      <c s="8" r="S287"/>
      <c s="8" r="T287"/>
      <c s="8" r="U287"/>
      <c s="8" r="V287"/>
      <c s="8" r="W287"/>
      <c s="8" r="X287"/>
      <c s="8" r="Y287"/>
      <c s="8" r="Z287"/>
      <c s="8" r="AA287"/>
    </row>
    <row r="288">
      <c t="s" s="7" r="A288">
        <v>1000</v>
      </c>
      <c t="s" s="7" r="B288">
        <v>1001</v>
      </c>
      <c t="s" s="7" r="C288">
        <v>1002</v>
      </c>
      <c s="8" r="D288"/>
      <c s="8" r="E288"/>
      <c s="8" r="F288"/>
      <c s="8" r="G288"/>
      <c s="8" r="H288"/>
      <c s="8" r="I288"/>
      <c s="8" r="J288"/>
      <c s="8" r="K288"/>
      <c s="8" r="L288"/>
      <c s="8" r="M288"/>
      <c s="8" r="N288"/>
      <c s="8" r="O288"/>
      <c s="8" r="P288"/>
      <c s="8" r="Q288"/>
      <c s="8" r="R288"/>
      <c s="8" r="S288"/>
      <c s="8" r="T288"/>
      <c s="8" r="U288"/>
      <c s="8" r="V288"/>
      <c s="8" r="W288"/>
      <c s="8" r="X288"/>
      <c s="8" r="Y288"/>
      <c s="8" r="Z288"/>
      <c s="8" r="AA288"/>
    </row>
    <row r="289">
      <c t="s" s="7" r="A289">
        <v>1003</v>
      </c>
      <c t="s" s="7" r="B289">
        <v>1004</v>
      </c>
      <c t="s" s="7" r="C289">
        <v>1005</v>
      </c>
      <c s="8" r="D289"/>
      <c s="8" r="E289"/>
      <c s="8" r="F289"/>
      <c s="8" r="G289"/>
      <c s="8" r="H289"/>
      <c s="8" r="I289"/>
      <c s="8" r="J289"/>
      <c s="8" r="K289"/>
      <c s="8" r="L289"/>
      <c s="8" r="M289"/>
      <c s="8" r="N289"/>
      <c s="8" r="O289"/>
      <c s="8" r="P289"/>
      <c s="8" r="Q289"/>
      <c s="8" r="R289"/>
      <c s="8" r="S289"/>
      <c s="8" r="T289"/>
      <c s="8" r="U289"/>
      <c s="8" r="V289"/>
      <c s="8" r="W289"/>
      <c s="8" r="X289"/>
      <c s="8" r="Y289"/>
      <c s="8" r="Z289"/>
      <c s="8" r="AA289"/>
    </row>
    <row r="290">
      <c t="s" s="7" r="A290">
        <v>1006</v>
      </c>
      <c t="s" s="7" r="B290">
        <v>1007</v>
      </c>
      <c t="s" s="7" r="C290">
        <v>1008</v>
      </c>
      <c s="8" r="D290"/>
      <c s="8" r="E290"/>
      <c s="8" r="F290"/>
      <c s="8" r="G290"/>
      <c s="8" r="H290"/>
      <c s="8" r="I290"/>
      <c s="8" r="J290"/>
      <c s="8" r="K290"/>
      <c s="8" r="L290"/>
      <c s="8" r="M290"/>
      <c s="8" r="N290"/>
      <c s="8" r="O290"/>
      <c s="8" r="P290"/>
      <c s="8" r="Q290"/>
      <c s="8" r="R290"/>
      <c s="8" r="S290"/>
      <c s="8" r="T290"/>
      <c s="8" r="U290"/>
      <c s="8" r="V290"/>
      <c s="8" r="W290"/>
      <c s="8" r="X290"/>
      <c s="8" r="Y290"/>
      <c s="8" r="Z290"/>
      <c s="8" r="AA290"/>
    </row>
    <row r="291">
      <c t="s" s="7" r="A291">
        <v>1009</v>
      </c>
      <c t="s" s="7" r="B291">
        <v>1010</v>
      </c>
      <c t="s" s="7" r="C291">
        <v>1011</v>
      </c>
      <c s="8" r="D291"/>
      <c s="8" r="E291"/>
      <c s="8" r="F291"/>
      <c s="8" r="G291"/>
      <c s="8" r="H291"/>
      <c s="8" r="I291"/>
      <c s="8" r="J291"/>
      <c s="8" r="K291"/>
      <c s="8" r="L291"/>
      <c s="8" r="M291"/>
      <c s="8" r="N291"/>
      <c s="8" r="O291"/>
      <c s="8" r="P291"/>
      <c s="8" r="Q291"/>
      <c s="8" r="R291"/>
      <c s="8" r="S291"/>
      <c s="8" r="T291"/>
      <c s="8" r="U291"/>
      <c s="8" r="V291"/>
      <c s="8" r="W291"/>
      <c s="8" r="X291"/>
      <c s="8" r="Y291"/>
      <c s="8" r="Z291"/>
      <c s="8" r="AA291"/>
    </row>
    <row r="292">
      <c t="s" s="7" r="A292">
        <v>1012</v>
      </c>
      <c t="s" s="7" r="B292">
        <v>1013</v>
      </c>
      <c t="s" s="7" r="C292">
        <v>1014</v>
      </c>
      <c t="s" s="7" r="D292">
        <v>1015</v>
      </c>
      <c t="str" s="9" r="E292">
        <f>HYPERLINK("https://twitter.com/AZ_RedDragon","@AZ_RedDragon ")</f>
        <v>@AZ_RedDragon </v>
      </c>
      <c t="str" s="9" r="F292">
        <f>HYPERLINK("http://instagram.com/az_reddragon/","@AZ_RedDragon ")</f>
        <v>@AZ_RedDragon </v>
      </c>
      <c s="8" r="G292"/>
      <c t="s" s="7" r="H292">
        <v>1016</v>
      </c>
      <c s="8" r="I292"/>
      <c s="8" r="J292"/>
      <c s="8" r="K292"/>
      <c s="8" r="L292"/>
      <c s="8" r="M292"/>
      <c s="8" r="N292"/>
      <c s="8" r="O292"/>
      <c s="8" r="P292"/>
      <c s="8" r="Q292"/>
      <c s="8" r="R292"/>
      <c s="8" r="S292"/>
      <c s="8" r="T292"/>
      <c s="8" r="U292"/>
      <c s="8" r="V292"/>
      <c s="8" r="W292"/>
      <c s="8" r="X292"/>
      <c s="8" r="Y292"/>
      <c s="8" r="Z292"/>
      <c s="8" r="AA292"/>
    </row>
    <row r="293">
      <c t="s" s="7" r="A293">
        <v>1017</v>
      </c>
      <c t="s" s="7" r="B293">
        <v>1018</v>
      </c>
      <c t="s" s="7" r="C293">
        <v>1019</v>
      </c>
      <c t="s" s="7" r="D293">
        <v>1020</v>
      </c>
      <c t="str" s="9" r="E293">
        <f>HYPERLINK("https://twitter.com/PaulM138666","@PaulM138666")</f>
        <v>@PaulM138666</v>
      </c>
      <c s="8" r="F293"/>
      <c s="8" r="G293"/>
      <c t="s" s="7" r="H293">
        <v>1021</v>
      </c>
      <c s="8" r="I293"/>
      <c s="8" r="J293"/>
      <c s="8" r="K293"/>
      <c s="8" r="L293"/>
      <c s="8" r="M293"/>
      <c s="8" r="N293"/>
      <c s="8" r="O293"/>
      <c s="8" r="P293"/>
      <c s="8" r="Q293"/>
      <c s="8" r="R293"/>
      <c s="8" r="S293"/>
      <c s="8" r="T293"/>
      <c s="8" r="U293"/>
      <c s="8" r="V293"/>
      <c s="8" r="W293"/>
      <c s="8" r="X293"/>
      <c s="8" r="Y293"/>
      <c s="8" r="Z293"/>
      <c s="8" r="AA293"/>
    </row>
    <row r="294">
      <c t="s" s="7" r="A294">
        <v>1022</v>
      </c>
      <c t="s" s="7" r="B294">
        <v>1023</v>
      </c>
      <c t="s" s="7" r="C294">
        <v>1024</v>
      </c>
      <c s="8" r="D294"/>
      <c s="8" r="E294"/>
      <c s="8" r="F294"/>
      <c s="8" r="G294"/>
      <c s="8" r="H294"/>
      <c s="8" r="I294"/>
      <c s="8" r="J294"/>
      <c s="8" r="K294"/>
      <c s="8" r="L294"/>
      <c s="8" r="M294"/>
      <c s="8" r="N294"/>
      <c s="8" r="O294"/>
      <c s="8" r="P294"/>
      <c s="8" r="Q294"/>
      <c s="8" r="R294"/>
      <c s="8" r="S294"/>
      <c s="8" r="T294"/>
      <c s="8" r="U294"/>
      <c s="8" r="V294"/>
      <c s="8" r="W294"/>
      <c s="8" r="X294"/>
      <c s="8" r="Y294"/>
      <c s="8" r="Z294"/>
      <c s="8" r="AA294"/>
    </row>
    <row r="295">
      <c t="s" s="7" r="A295">
        <v>1025</v>
      </c>
      <c t="s" s="7" r="B295">
        <v>1026</v>
      </c>
      <c t="s" s="7" r="C295">
        <v>1027</v>
      </c>
      <c s="8" r="D295"/>
      <c s="8" r="E295"/>
      <c s="8" r="F295"/>
      <c s="8" r="G295"/>
      <c s="8" r="H295"/>
      <c s="8" r="I295"/>
      <c s="8" r="J295"/>
      <c s="8" r="K295"/>
      <c s="8" r="L295"/>
      <c s="8" r="M295"/>
      <c s="8" r="N295"/>
      <c s="8" r="O295"/>
      <c s="8" r="P295"/>
      <c s="8" r="Q295"/>
      <c s="8" r="R295"/>
      <c s="8" r="S295"/>
      <c s="8" r="T295"/>
      <c s="8" r="U295"/>
      <c s="8" r="V295"/>
      <c s="8" r="W295"/>
      <c s="8" r="X295"/>
      <c s="8" r="Y295"/>
      <c s="8" r="Z295"/>
      <c s="8" r="AA295"/>
    </row>
    <row r="296">
      <c t="s" s="7" r="A296">
        <v>1028</v>
      </c>
      <c t="s" s="7" r="B296">
        <v>1029</v>
      </c>
      <c t="s" s="7" r="C296">
        <v>1030</v>
      </c>
      <c s="8" r="D296"/>
      <c s="8" r="E296"/>
      <c s="8" r="F296"/>
      <c s="8" r="G296"/>
      <c s="8" r="H296"/>
      <c s="8" r="I296"/>
      <c s="8" r="J296"/>
      <c s="8" r="K296"/>
      <c s="8" r="L296"/>
      <c s="8" r="M296"/>
      <c s="8" r="N296"/>
      <c s="8" r="O296"/>
      <c s="8" r="P296"/>
      <c s="8" r="Q296"/>
      <c s="8" r="R296"/>
      <c s="8" r="S296"/>
      <c s="8" r="T296"/>
      <c s="8" r="U296"/>
      <c s="8" r="V296"/>
      <c s="8" r="W296"/>
      <c s="8" r="X296"/>
      <c s="8" r="Y296"/>
      <c s="8" r="Z296"/>
      <c s="8" r="AA296"/>
    </row>
    <row r="297">
      <c t="s" s="7" r="A297">
        <v>1031</v>
      </c>
      <c t="s" s="7" r="B297">
        <v>1032</v>
      </c>
      <c t="s" s="7" r="C297">
        <v>1033</v>
      </c>
      <c t="s" s="7" r="D297">
        <v>1034</v>
      </c>
      <c t="str" s="9" r="E297">
        <f>HYPERLINK("https://twitter.com/mighty_boognish","@mighty_boognish")</f>
        <v>@mighty_boognish</v>
      </c>
      <c t="str" s="9" r="F297">
        <f>HYPERLINK("http://instagram.com/themightyboognish","@themightyboognish")</f>
        <v>@themightyboognish</v>
      </c>
      <c t="s" s="7" r="G297">
        <v>1035</v>
      </c>
      <c t="s" s="7" r="H297">
        <v>1036</v>
      </c>
      <c t="s" s="7" r="I297">
        <v>1037</v>
      </c>
      <c s="8" r="J297"/>
      <c s="8" r="K297"/>
      <c s="8" r="L297"/>
      <c s="8" r="M297"/>
      <c s="8" r="N297"/>
      <c s="8" r="O297"/>
      <c s="8" r="P297"/>
      <c s="8" r="Q297"/>
      <c s="8" r="R297"/>
      <c s="8" r="S297"/>
      <c s="8" r="T297"/>
      <c s="8" r="U297"/>
      <c s="8" r="V297"/>
      <c s="8" r="W297"/>
      <c s="8" r="X297"/>
      <c s="8" r="Y297"/>
      <c s="8" r="Z297"/>
      <c s="8" r="AA297"/>
    </row>
    <row r="298">
      <c t="s" s="7" r="A298">
        <v>1038</v>
      </c>
      <c t="s" s="7" r="B298">
        <v>1039</v>
      </c>
      <c t="s" s="7" r="C298">
        <v>1040</v>
      </c>
      <c s="8" r="D298"/>
      <c s="8" r="E298"/>
      <c s="8" r="F298"/>
      <c s="8" r="G298"/>
      <c s="8" r="H298"/>
      <c s="8" r="I298"/>
      <c s="8" r="J298"/>
      <c s="8" r="K298"/>
      <c s="8" r="L298"/>
      <c s="8" r="M298"/>
      <c s="8" r="N298"/>
      <c s="8" r="O298"/>
      <c s="8" r="P298"/>
      <c s="8" r="Q298"/>
      <c s="8" r="R298"/>
      <c s="8" r="S298"/>
      <c s="8" r="T298"/>
      <c s="8" r="U298"/>
      <c s="8" r="V298"/>
      <c s="8" r="W298"/>
      <c s="8" r="X298"/>
      <c s="8" r="Y298"/>
      <c s="8" r="Z298"/>
      <c s="8" r="AA298"/>
    </row>
    <row r="299">
      <c t="s" s="7" r="A299">
        <v>1041</v>
      </c>
      <c t="s" s="7" r="B299">
        <v>1042</v>
      </c>
      <c t="s" s="7" r="C299">
        <v>1043</v>
      </c>
      <c s="8" r="D299"/>
      <c s="8" r="E299"/>
      <c s="8" r="F299"/>
      <c s="8" r="G299"/>
      <c s="8" r="H299"/>
      <c s="8" r="I299"/>
      <c s="8" r="J299"/>
      <c s="8" r="K299"/>
      <c s="8" r="L299"/>
      <c s="8" r="M299"/>
      <c s="8" r="N299"/>
      <c s="8" r="O299"/>
      <c s="8" r="P299"/>
      <c s="8" r="Q299"/>
      <c s="8" r="R299"/>
      <c s="8" r="S299"/>
      <c s="8" r="T299"/>
      <c s="8" r="U299"/>
      <c s="8" r="V299"/>
      <c s="8" r="W299"/>
      <c s="8" r="X299"/>
      <c s="8" r="Y299"/>
      <c s="8" r="Z299"/>
      <c s="8" r="AA299"/>
    </row>
    <row r="300">
      <c t="s" s="7" r="A300">
        <v>1044</v>
      </c>
      <c t="s" s="7" r="B300">
        <v>1045</v>
      </c>
      <c t="s" s="7" r="C300">
        <v>1046</v>
      </c>
      <c s="8" r="D300"/>
      <c s="8" r="E300"/>
      <c s="8" r="F300"/>
      <c s="8" r="G300"/>
      <c s="8" r="H300"/>
      <c s="8" r="I300"/>
      <c s="8" r="J300"/>
      <c s="8" r="K300"/>
      <c s="8" r="L300"/>
      <c s="8" r="M300"/>
      <c s="8" r="N300"/>
      <c s="8" r="O300"/>
      <c s="8" r="P300"/>
      <c s="8" r="Q300"/>
      <c s="8" r="R300"/>
      <c s="8" r="S300"/>
      <c s="8" r="T300"/>
      <c s="8" r="U300"/>
      <c s="8" r="V300"/>
      <c s="8" r="W300"/>
      <c s="8" r="X300"/>
      <c s="8" r="Y300"/>
      <c s="8" r="Z300"/>
      <c s="8" r="AA300"/>
    </row>
    <row r="301">
      <c t="s" s="7" r="A301">
        <v>1047</v>
      </c>
      <c t="s" s="7" r="B301">
        <v>1048</v>
      </c>
      <c t="s" s="7" r="C301">
        <v>1049</v>
      </c>
      <c s="8" r="D301"/>
      <c s="8" r="E301"/>
      <c s="8" r="F301"/>
      <c s="8" r="G301"/>
      <c s="8" r="H301"/>
      <c s="8" r="I301"/>
      <c s="8" r="J301"/>
      <c s="8" r="K301"/>
      <c s="8" r="L301"/>
      <c s="8" r="M301"/>
      <c s="8" r="N301"/>
      <c s="8" r="O301"/>
      <c s="8" r="P301"/>
      <c s="8" r="Q301"/>
      <c s="8" r="R301"/>
      <c s="8" r="S301"/>
      <c s="8" r="T301"/>
      <c s="8" r="U301"/>
      <c s="8" r="V301"/>
      <c s="8" r="W301"/>
      <c s="8" r="X301"/>
      <c s="8" r="Y301"/>
      <c s="8" r="Z301"/>
      <c s="8" r="AA301"/>
    </row>
    <row r="302">
      <c t="s" s="7" r="A302">
        <v>1050</v>
      </c>
      <c t="s" s="7" r="B302">
        <v>1051</v>
      </c>
      <c t="s" s="7" r="C302">
        <v>1052</v>
      </c>
      <c s="8" r="D302"/>
      <c s="8" r="E302"/>
      <c s="8" r="F302"/>
      <c s="8" r="G302"/>
      <c s="8" r="H302"/>
      <c s="8" r="I302"/>
      <c s="8" r="J302"/>
      <c s="8" r="K302"/>
      <c s="8" r="L302"/>
      <c s="8" r="M302"/>
      <c s="8" r="N302"/>
      <c s="8" r="O302"/>
      <c s="8" r="P302"/>
      <c s="8" r="Q302"/>
      <c s="8" r="R302"/>
      <c s="8" r="S302"/>
      <c s="8" r="T302"/>
      <c s="8" r="U302"/>
      <c s="8" r="V302"/>
      <c s="8" r="W302"/>
      <c s="8" r="X302"/>
      <c s="8" r="Y302"/>
      <c s="8" r="Z302"/>
      <c s="8" r="AA302"/>
    </row>
    <row r="303">
      <c t="s" s="7" r="A303">
        <v>1053</v>
      </c>
      <c t="s" s="7" r="B303">
        <v>1054</v>
      </c>
      <c t="s" s="7" r="C303">
        <v>1055</v>
      </c>
      <c s="8" r="D303"/>
      <c s="8" r="E303"/>
      <c s="8" r="F303"/>
      <c s="8" r="G303"/>
      <c s="8" r="H303"/>
      <c s="8" r="I303"/>
      <c s="8" r="J303"/>
      <c s="8" r="K303"/>
      <c s="8" r="L303"/>
      <c s="8" r="M303"/>
      <c s="8" r="N303"/>
      <c s="8" r="O303"/>
      <c s="8" r="P303"/>
      <c s="8" r="Q303"/>
      <c s="8" r="R303"/>
      <c s="8" r="S303"/>
      <c s="8" r="T303"/>
      <c s="8" r="U303"/>
      <c s="8" r="V303"/>
      <c s="8" r="W303"/>
      <c s="8" r="X303"/>
      <c s="8" r="Y303"/>
      <c s="8" r="Z303"/>
      <c s="8" r="AA303"/>
    </row>
    <row r="304">
      <c t="s" s="7" r="A304">
        <v>1056</v>
      </c>
      <c t="s" s="7" r="B304">
        <v>1057</v>
      </c>
      <c t="s" s="7" r="C304">
        <v>1058</v>
      </c>
      <c s="8" r="D304"/>
      <c s="8" r="E304"/>
      <c s="8" r="F304"/>
      <c s="8" r="G304"/>
      <c s="8" r="H304"/>
      <c s="8" r="I304"/>
      <c s="8" r="J304"/>
      <c s="8" r="K304"/>
      <c s="8" r="L304"/>
      <c s="8" r="M304"/>
      <c s="8" r="N304"/>
      <c s="8" r="O304"/>
      <c s="8" r="P304"/>
      <c s="8" r="Q304"/>
      <c s="8" r="R304"/>
      <c s="8" r="S304"/>
      <c s="8" r="T304"/>
      <c s="8" r="U304"/>
      <c s="8" r="V304"/>
      <c s="8" r="W304"/>
      <c s="8" r="X304"/>
      <c s="8" r="Y304"/>
      <c s="8" r="Z304"/>
      <c s="8" r="AA304"/>
    </row>
    <row r="305">
      <c t="s" s="7" r="A305">
        <v>1059</v>
      </c>
      <c t="s" s="7" r="B305">
        <v>1060</v>
      </c>
      <c t="s" s="7" r="C305">
        <v>1061</v>
      </c>
      <c s="8" r="D305"/>
      <c s="8" r="E305"/>
      <c s="8" r="F305"/>
      <c s="8" r="G305"/>
      <c s="8" r="H305"/>
      <c s="8" r="I305"/>
      <c s="8" r="J305"/>
      <c s="8" r="K305"/>
      <c s="8" r="L305"/>
      <c s="8" r="M305"/>
      <c s="8" r="N305"/>
      <c s="8" r="O305"/>
      <c s="8" r="P305"/>
      <c s="8" r="Q305"/>
      <c s="8" r="R305"/>
      <c s="8" r="S305"/>
      <c s="8" r="T305"/>
      <c s="8" r="U305"/>
      <c s="8" r="V305"/>
      <c s="8" r="W305"/>
      <c s="8" r="X305"/>
      <c s="8" r="Y305"/>
      <c s="8" r="Z305"/>
      <c s="8" r="AA305"/>
    </row>
    <row r="306">
      <c t="s" s="7" r="A306">
        <v>1062</v>
      </c>
      <c t="s" s="7" r="B306">
        <v>1063</v>
      </c>
      <c t="s" s="7" r="C306">
        <v>1064</v>
      </c>
      <c s="8" r="D306"/>
      <c s="8" r="E306"/>
      <c s="8" r="F306"/>
      <c s="8" r="G306"/>
      <c s="8" r="H306"/>
      <c s="8" r="I306"/>
      <c s="8" r="J306"/>
      <c s="8" r="K306"/>
      <c s="8" r="L306"/>
      <c s="8" r="M306"/>
      <c s="8" r="N306"/>
      <c s="8" r="O306"/>
      <c s="8" r="P306"/>
      <c s="8" r="Q306"/>
      <c s="8" r="R306"/>
      <c s="8" r="S306"/>
      <c s="8" r="T306"/>
      <c s="8" r="U306"/>
      <c s="8" r="V306"/>
      <c s="8" r="W306"/>
      <c s="8" r="X306"/>
      <c s="8" r="Y306"/>
      <c s="8" r="Z306"/>
      <c s="8" r="AA306"/>
    </row>
    <row r="307">
      <c t="s" s="7" r="A307">
        <v>1065</v>
      </c>
      <c t="s" s="7" r="B307">
        <v>1066</v>
      </c>
      <c t="s" s="7" r="C307">
        <v>1067</v>
      </c>
      <c s="8" r="D307"/>
      <c s="8" r="E307"/>
      <c s="8" r="F307"/>
      <c s="8" r="G307"/>
      <c s="8" r="H307"/>
      <c s="8" r="I307"/>
      <c s="8" r="J307"/>
      <c s="8" r="K307"/>
      <c s="8" r="L307"/>
      <c s="8" r="M307"/>
      <c s="8" r="N307"/>
      <c s="8" r="O307"/>
      <c s="8" r="P307"/>
      <c s="8" r="Q307"/>
      <c s="8" r="R307"/>
      <c s="8" r="S307"/>
      <c s="8" r="T307"/>
      <c s="8" r="U307"/>
      <c s="8" r="V307"/>
      <c s="8" r="W307"/>
      <c s="8" r="X307"/>
      <c s="8" r="Y307"/>
      <c s="8" r="Z307"/>
      <c s="8" r="AA307"/>
    </row>
    <row r="308">
      <c t="s" s="7" r="A308">
        <v>1068</v>
      </c>
      <c t="s" s="7" r="B308">
        <v>1069</v>
      </c>
      <c t="s" s="7" r="C308">
        <v>1070</v>
      </c>
      <c s="8" r="D308"/>
      <c s="8" r="E308"/>
      <c s="8" r="F308"/>
      <c s="8" r="G308"/>
      <c s="8" r="H308"/>
      <c s="8" r="I308"/>
      <c s="8" r="J308"/>
      <c s="8" r="K308"/>
      <c s="8" r="L308"/>
      <c s="8" r="M308"/>
      <c s="8" r="N308"/>
      <c s="8" r="O308"/>
      <c s="8" r="P308"/>
      <c s="8" r="Q308"/>
      <c s="8" r="R308"/>
      <c s="8" r="S308"/>
      <c s="8" r="T308"/>
      <c s="8" r="U308"/>
      <c s="8" r="V308"/>
      <c s="8" r="W308"/>
      <c s="8" r="X308"/>
      <c s="8" r="Y308"/>
      <c s="8" r="Z308"/>
      <c s="8" r="AA308"/>
    </row>
    <row r="309">
      <c t="s" s="7" r="A309">
        <v>1071</v>
      </c>
      <c t="s" s="7" r="B309">
        <v>1072</v>
      </c>
      <c t="s" s="7" r="C309">
        <v>1073</v>
      </c>
      <c s="8" r="D309"/>
      <c s="8" r="E309"/>
      <c s="8" r="F309"/>
      <c s="8" r="G309"/>
      <c s="8" r="H309"/>
      <c s="8" r="I309"/>
      <c s="8" r="J309"/>
      <c s="8" r="K309"/>
      <c s="8" r="L309"/>
      <c s="8" r="M309"/>
      <c s="8" r="N309"/>
      <c s="8" r="O309"/>
      <c s="8" r="P309"/>
      <c s="8" r="Q309"/>
      <c s="8" r="R309"/>
      <c s="8" r="S309"/>
      <c s="8" r="T309"/>
      <c s="8" r="U309"/>
      <c s="8" r="V309"/>
      <c s="8" r="W309"/>
      <c s="8" r="X309"/>
      <c s="8" r="Y309"/>
      <c s="8" r="Z309"/>
      <c s="8" r="AA309"/>
    </row>
    <row r="310">
      <c t="s" s="7" r="A310">
        <v>1074</v>
      </c>
      <c t="s" s="7" r="B310">
        <v>1075</v>
      </c>
      <c t="s" s="7" r="C310">
        <v>1076</v>
      </c>
      <c s="8" r="D310"/>
      <c s="8" r="E310"/>
      <c s="8" r="F310"/>
      <c s="8" r="G310"/>
      <c s="8" r="H310"/>
      <c s="8" r="I310"/>
      <c s="8" r="J310"/>
      <c s="8" r="K310"/>
      <c s="8" r="L310"/>
      <c s="8" r="M310"/>
      <c s="8" r="N310"/>
      <c s="8" r="O310"/>
      <c s="8" r="P310"/>
      <c s="8" r="Q310"/>
      <c s="8" r="R310"/>
      <c s="8" r="S310"/>
      <c s="8" r="T310"/>
      <c s="8" r="U310"/>
      <c s="8" r="V310"/>
      <c s="8" r="W310"/>
      <c s="8" r="X310"/>
      <c s="8" r="Y310"/>
      <c s="8" r="Z310"/>
      <c s="8" r="AA310"/>
    </row>
    <row r="311">
      <c t="s" s="7" r="A311">
        <v>1077</v>
      </c>
      <c t="s" s="7" r="B311">
        <v>1078</v>
      </c>
      <c t="s" s="7" r="C311">
        <v>1079</v>
      </c>
      <c s="8" r="D311"/>
      <c s="8" r="E311"/>
      <c s="8" r="F311"/>
      <c s="8" r="G311"/>
      <c s="8" r="H311"/>
      <c s="8" r="I311"/>
      <c s="8" r="J311"/>
      <c s="8" r="K311"/>
      <c s="8" r="L311"/>
      <c s="8" r="M311"/>
      <c s="8" r="N311"/>
      <c s="8" r="O311"/>
      <c s="8" r="P311"/>
      <c s="8" r="Q311"/>
      <c s="8" r="R311"/>
      <c s="8" r="S311"/>
      <c s="8" r="T311"/>
      <c s="8" r="U311"/>
      <c s="8" r="V311"/>
      <c s="8" r="W311"/>
      <c s="8" r="X311"/>
      <c s="8" r="Y311"/>
      <c s="8" r="Z311"/>
      <c s="8" r="AA311"/>
    </row>
    <row r="312">
      <c t="s" s="7" r="A312">
        <v>1080</v>
      </c>
      <c t="s" s="7" r="B312">
        <v>1081</v>
      </c>
      <c t="s" s="7" r="C312">
        <v>1082</v>
      </c>
      <c t="s" s="7" r="D312">
        <v>1083</v>
      </c>
      <c t="str" s="9" r="E312">
        <f>HYPERLINK("https://twitter.com/TonyMcCord","@TonyMcCord")</f>
        <v>@TonyMcCord</v>
      </c>
      <c t="str" s="9" r="F312">
        <f>HYPERLINK("http://instagram.com/anthonymccord","@anthonymccord")</f>
        <v>@anthonymccord</v>
      </c>
      <c t="s" s="7" r="G312">
        <v>1084</v>
      </c>
      <c s="8" r="H312"/>
      <c s="8" r="I312"/>
      <c s="8" r="J312"/>
      <c s="8" r="K312"/>
      <c s="8" r="L312"/>
      <c s="8" r="M312"/>
      <c s="8" r="N312"/>
      <c s="8" r="O312"/>
      <c s="8" r="P312"/>
      <c s="8" r="Q312"/>
      <c s="8" r="R312"/>
      <c s="8" r="S312"/>
      <c s="8" r="T312"/>
      <c s="8" r="U312"/>
      <c s="8" r="V312"/>
      <c s="8" r="W312"/>
      <c s="8" r="X312"/>
      <c s="8" r="Y312"/>
      <c s="8" r="Z312"/>
      <c s="8" r="AA312"/>
    </row>
    <row r="313">
      <c t="s" s="7" r="A313">
        <v>1085</v>
      </c>
      <c t="s" s="7" r="B313">
        <v>1086</v>
      </c>
      <c t="s" s="7" r="C313">
        <v>1087</v>
      </c>
      <c t="s" s="7" r="D313">
        <v>1088</v>
      </c>
      <c s="8" r="E313"/>
      <c s="8" r="F313"/>
      <c s="8" r="G313"/>
      <c s="8" r="H313"/>
      <c s="8" r="I313"/>
      <c s="8" r="J313"/>
      <c s="8" r="K313"/>
      <c s="8" r="L313"/>
      <c s="8" r="M313"/>
      <c s="8" r="N313"/>
      <c s="8" r="O313"/>
      <c s="8" r="P313"/>
      <c s="8" r="Q313"/>
      <c s="8" r="R313"/>
      <c s="8" r="S313"/>
      <c s="8" r="T313"/>
      <c s="8" r="U313"/>
      <c s="8" r="V313"/>
      <c s="8" r="W313"/>
      <c s="8" r="X313"/>
      <c s="8" r="Y313"/>
      <c s="8" r="Z313"/>
      <c s="8" r="AA313"/>
    </row>
    <row r="314">
      <c t="s" s="7" r="A314">
        <v>1089</v>
      </c>
      <c t="s" s="7" r="B314">
        <v>1090</v>
      </c>
      <c t="s" s="7" r="C314">
        <v>1091</v>
      </c>
      <c s="8" r="D314"/>
      <c s="8" r="E314"/>
      <c s="8" r="F314"/>
      <c s="8" r="G314"/>
      <c s="8" r="H314"/>
      <c s="8" r="I314"/>
      <c s="8" r="J314"/>
      <c s="8" r="K314"/>
      <c s="8" r="L314"/>
      <c s="8" r="M314"/>
      <c s="8" r="N314"/>
      <c s="8" r="O314"/>
      <c s="8" r="P314"/>
      <c s="8" r="Q314"/>
      <c s="8" r="R314"/>
      <c s="8" r="S314"/>
      <c s="8" r="T314"/>
      <c s="8" r="U314"/>
      <c s="8" r="V314"/>
      <c s="8" r="W314"/>
      <c s="8" r="X314"/>
      <c s="8" r="Y314"/>
      <c s="8" r="Z314"/>
      <c s="8" r="AA314"/>
    </row>
    <row r="315">
      <c t="s" s="7" r="A315">
        <v>1092</v>
      </c>
      <c t="s" s="7" r="B315">
        <v>1093</v>
      </c>
      <c t="s" s="7" r="C315">
        <v>1094</v>
      </c>
      <c s="8" r="D315"/>
      <c s="8" r="E315"/>
      <c s="8" r="F315"/>
      <c s="8" r="G315"/>
      <c s="8" r="H315"/>
      <c s="8" r="I315"/>
      <c s="8" r="J315"/>
      <c s="8" r="K315"/>
      <c s="8" r="L315"/>
      <c s="8" r="M315"/>
      <c s="8" r="N315"/>
      <c s="8" r="O315"/>
      <c s="8" r="P315"/>
      <c s="8" r="Q315"/>
      <c s="8" r="R315"/>
      <c s="8" r="S315"/>
      <c s="8" r="T315"/>
      <c s="8" r="U315"/>
      <c s="8" r="V315"/>
      <c s="8" r="W315"/>
      <c s="8" r="X315"/>
      <c s="8" r="Y315"/>
      <c s="8" r="Z315"/>
      <c s="8" r="AA315"/>
    </row>
    <row r="316">
      <c t="s" s="7" r="A316">
        <v>1095</v>
      </c>
      <c t="s" s="7" r="B316">
        <v>1096</v>
      </c>
      <c t="s" s="7" r="C316">
        <v>1097</v>
      </c>
      <c s="8" r="D316"/>
      <c s="8" r="E316"/>
      <c s="8" r="F316"/>
      <c s="8" r="G316"/>
      <c s="8" r="H316"/>
      <c s="8" r="I316"/>
      <c s="8" r="J316"/>
      <c s="8" r="K316"/>
      <c s="8" r="L316"/>
      <c s="8" r="M316"/>
      <c s="8" r="N316"/>
      <c s="8" r="O316"/>
      <c s="8" r="P316"/>
      <c s="8" r="Q316"/>
      <c s="8" r="R316"/>
      <c s="8" r="S316"/>
      <c s="8" r="T316"/>
      <c s="8" r="U316"/>
      <c s="8" r="V316"/>
      <c s="8" r="W316"/>
      <c s="8" r="X316"/>
      <c s="8" r="Y316"/>
      <c s="8" r="Z316"/>
      <c s="8" r="AA316"/>
    </row>
    <row r="317">
      <c t="s" s="7" r="A317">
        <v>1098</v>
      </c>
      <c t="s" s="7" r="B317">
        <v>1099</v>
      </c>
      <c t="s" s="7" r="C317">
        <v>1100</v>
      </c>
      <c t="s" s="7" r="D317">
        <v>1101</v>
      </c>
      <c t="str" s="9" r="E317">
        <f>HYPERLINK("https://twitter.com/DraXsiS_Rocker","@DraXsiS_Rocker")</f>
        <v>@DraXsiS_Rocker</v>
      </c>
      <c t="str" s="9" r="F317">
        <f>HYPERLINK("http://instagram.com/draxsis_rocker","@DraXsiS_Rocker")</f>
        <v>@DraXsiS_Rocker</v>
      </c>
      <c t="s" s="7" r="G317">
        <v>1102</v>
      </c>
      <c t="s" s="7" r="H317">
        <v>1103</v>
      </c>
      <c s="8" r="I317"/>
      <c s="8" r="J317"/>
      <c s="8" r="K317"/>
      <c s="8" r="L317"/>
      <c s="8" r="M317"/>
      <c s="8" r="N317"/>
      <c s="8" r="O317"/>
      <c s="8" r="P317"/>
      <c s="8" r="Q317"/>
      <c s="8" r="R317"/>
      <c s="8" r="S317"/>
      <c s="8" r="T317"/>
      <c s="8" r="U317"/>
      <c s="8" r="V317"/>
      <c s="8" r="W317"/>
      <c s="8" r="X317"/>
      <c s="8" r="Y317"/>
      <c s="8" r="Z317"/>
      <c s="8" r="AA317"/>
    </row>
    <row r="318">
      <c t="s" s="7" r="A318">
        <v>1104</v>
      </c>
      <c t="s" s="7" r="B318">
        <v>1105</v>
      </c>
      <c t="s" s="7" r="C318">
        <v>1106</v>
      </c>
      <c t="s" s="7" r="D318">
        <v>1107</v>
      </c>
      <c t="str" s="9" r="E318">
        <f>HYPERLINK("https://twitter.com/matmonsterk","@matmonsterk")</f>
        <v>@matmonsterk</v>
      </c>
      <c t="str" s="9" r="F318">
        <f>HYPERLINK("http://instagram.com/matmonsterk","@matmonsterk")</f>
        <v>@matmonsterk</v>
      </c>
      <c t="s" s="7" r="G318">
        <v>1108</v>
      </c>
      <c s="8" r="H318"/>
      <c s="8" r="I318"/>
      <c s="8" r="J318"/>
      <c s="8" r="K318"/>
      <c s="8" r="L318"/>
      <c s="8" r="M318"/>
      <c s="8" r="N318"/>
      <c s="8" r="O318"/>
      <c s="8" r="P318"/>
      <c s="8" r="Q318"/>
      <c s="8" r="R318"/>
      <c s="8" r="S318"/>
      <c s="8" r="T318"/>
      <c s="8" r="U318"/>
      <c s="8" r="V318"/>
      <c s="8" r="W318"/>
      <c s="8" r="X318"/>
      <c s="8" r="Y318"/>
      <c s="8" r="Z318"/>
      <c s="8" r="AA318"/>
    </row>
    <row r="319">
      <c t="s" s="7" r="A319">
        <v>1109</v>
      </c>
      <c t="s" s="7" r="B319">
        <v>1110</v>
      </c>
      <c t="s" s="7" r="C319">
        <v>1111</v>
      </c>
      <c s="8" r="D319"/>
      <c s="8" r="E319"/>
      <c s="8" r="F319"/>
      <c s="8" r="G319"/>
      <c s="8" r="H319"/>
      <c s="8" r="I319"/>
      <c s="8" r="J319"/>
      <c s="8" r="K319"/>
      <c s="8" r="L319"/>
      <c s="8" r="M319"/>
      <c s="8" r="N319"/>
      <c s="8" r="O319"/>
      <c s="8" r="P319"/>
      <c s="8" r="Q319"/>
      <c s="8" r="R319"/>
      <c s="8" r="S319"/>
      <c s="8" r="T319"/>
      <c s="8" r="U319"/>
      <c s="8" r="V319"/>
      <c s="8" r="W319"/>
      <c s="8" r="X319"/>
      <c s="8" r="Y319"/>
      <c s="8" r="Z319"/>
      <c s="8" r="AA319"/>
    </row>
    <row r="320">
      <c t="s" s="7" r="A320">
        <v>1112</v>
      </c>
      <c t="s" s="7" r="B320">
        <v>1113</v>
      </c>
      <c t="s" s="7" r="C320">
        <v>1114</v>
      </c>
      <c t="s" s="7" r="D320">
        <v>1115</v>
      </c>
      <c t="str" s="9" r="E320">
        <f>HYPERLINK("https://twitter.com/Meaty_OZ","@Meaty_oz")</f>
        <v>@Meaty_oz</v>
      </c>
      <c t="str" s="9" r="F320">
        <f>HYPERLINK("http://instagram.com/Meaty_oz","@Meaty_oz")</f>
        <v>@Meaty_oz</v>
      </c>
      <c t="s" s="7" r="G320">
        <v>1116</v>
      </c>
      <c s="8" r="H320"/>
      <c s="8" r="I320"/>
      <c s="8" r="J320"/>
      <c s="8" r="K320"/>
      <c s="8" r="L320"/>
      <c s="8" r="M320"/>
      <c s="8" r="N320"/>
      <c s="8" r="O320"/>
      <c s="8" r="P320"/>
      <c s="8" r="Q320"/>
      <c s="8" r="R320"/>
      <c s="8" r="S320"/>
      <c s="8" r="T320"/>
      <c s="8" r="U320"/>
      <c s="8" r="V320"/>
      <c s="8" r="W320"/>
      <c s="8" r="X320"/>
      <c s="8" r="Y320"/>
      <c s="8" r="Z320"/>
      <c s="8" r="AA320"/>
    </row>
    <row r="321">
      <c t="s" s="7" r="A321">
        <v>1117</v>
      </c>
      <c t="s" s="7" r="B321">
        <v>1118</v>
      </c>
      <c t="s" s="7" r="C321">
        <v>1119</v>
      </c>
      <c s="8" r="D321"/>
      <c s="8" r="E321"/>
      <c s="8" r="F321"/>
      <c s="8" r="G321"/>
      <c s="8" r="H321"/>
      <c s="8" r="I321"/>
      <c s="8" r="J321"/>
      <c s="8" r="K321"/>
      <c s="8" r="L321"/>
      <c s="8" r="M321"/>
      <c s="8" r="N321"/>
      <c s="8" r="O321"/>
      <c s="8" r="P321"/>
      <c s="8" r="Q321"/>
      <c s="8" r="R321"/>
      <c s="8" r="S321"/>
      <c s="8" r="T321"/>
      <c s="8" r="U321"/>
      <c s="8" r="V321"/>
      <c s="8" r="W321"/>
      <c s="8" r="X321"/>
      <c s="8" r="Y321"/>
      <c s="8" r="Z321"/>
      <c s="8" r="AA321"/>
    </row>
    <row r="322">
      <c t="s" s="7" r="A322">
        <v>1120</v>
      </c>
      <c t="s" s="7" r="B322">
        <v>1121</v>
      </c>
      <c t="s" s="7" r="C322">
        <v>1122</v>
      </c>
      <c s="8" r="D322"/>
      <c s="8" r="E322"/>
      <c s="8" r="F322"/>
      <c s="8" r="G322"/>
      <c s="8" r="H322"/>
      <c s="8" r="I322"/>
      <c s="8" r="J322"/>
      <c s="8" r="K322"/>
      <c s="8" r="L322"/>
      <c s="8" r="M322"/>
      <c s="8" r="N322"/>
      <c s="8" r="O322"/>
      <c s="8" r="P322"/>
      <c s="8" r="Q322"/>
      <c s="8" r="R322"/>
      <c s="8" r="S322"/>
      <c s="8" r="T322"/>
      <c s="8" r="U322"/>
      <c s="8" r="V322"/>
      <c s="8" r="W322"/>
      <c s="8" r="X322"/>
      <c s="8" r="Y322"/>
      <c s="8" r="Z322"/>
      <c s="8" r="AA322"/>
    </row>
    <row r="323">
      <c t="s" s="7" r="A323">
        <v>1123</v>
      </c>
      <c t="s" s="7" r="B323">
        <v>1124</v>
      </c>
      <c t="s" s="7" r="C323">
        <v>1125</v>
      </c>
      <c s="8" r="D323"/>
      <c s="8" r="E323"/>
      <c s="8" r="F323"/>
      <c s="8" r="G323"/>
      <c s="8" r="H323"/>
      <c s="8" r="I323"/>
      <c s="8" r="J323"/>
      <c s="8" r="K323"/>
      <c s="8" r="L323"/>
      <c s="8" r="M323"/>
      <c s="8" r="N323"/>
      <c s="8" r="O323"/>
      <c s="8" r="P323"/>
      <c s="8" r="Q323"/>
      <c s="8" r="R323"/>
      <c s="8" r="S323"/>
      <c s="8" r="T323"/>
      <c s="8" r="U323"/>
      <c s="8" r="V323"/>
      <c s="8" r="W323"/>
      <c s="8" r="X323"/>
      <c s="8" r="Y323"/>
      <c s="8" r="Z323"/>
      <c s="8" r="AA323"/>
    </row>
    <row r="324">
      <c t="s" s="7" r="A324">
        <v>1126</v>
      </c>
      <c t="s" s="7" r="B324">
        <v>1127</v>
      </c>
      <c t="s" s="7" r="C324">
        <v>1128</v>
      </c>
      <c t="s" s="7" r="D324">
        <v>1129</v>
      </c>
      <c s="8" r="E324"/>
      <c s="8" r="F324"/>
      <c t="s" s="7" r="G324">
        <v>1130</v>
      </c>
      <c s="8" r="H324"/>
      <c s="8" r="I324"/>
      <c s="8" r="J324"/>
      <c s="8" r="K324"/>
      <c s="8" r="L324"/>
      <c s="8" r="M324"/>
      <c s="8" r="N324"/>
      <c s="8" r="O324"/>
      <c s="8" r="P324"/>
      <c s="8" r="Q324"/>
      <c s="8" r="R324"/>
      <c s="8" r="S324"/>
      <c s="8" r="T324"/>
      <c s="8" r="U324"/>
      <c s="8" r="V324"/>
      <c s="8" r="W324"/>
      <c s="8" r="X324"/>
      <c s="8" r="Y324"/>
      <c s="8" r="Z324"/>
      <c s="8" r="AA324"/>
    </row>
    <row r="325">
      <c t="s" s="7" r="A325">
        <v>1131</v>
      </c>
      <c t="s" s="7" r="B325">
        <v>1132</v>
      </c>
      <c t="s" s="7" r="C325">
        <v>1133</v>
      </c>
      <c s="8" r="D325"/>
      <c s="8" r="E325"/>
      <c s="8" r="F325"/>
      <c s="8" r="G325"/>
      <c s="8" r="H325"/>
      <c s="8" r="I325"/>
      <c s="8" r="J325"/>
      <c s="8" r="K325"/>
      <c s="8" r="L325"/>
      <c s="8" r="M325"/>
      <c s="8" r="N325"/>
      <c s="8" r="O325"/>
      <c s="8" r="P325"/>
      <c s="8" r="Q325"/>
      <c s="8" r="R325"/>
      <c s="8" r="S325"/>
      <c s="8" r="T325"/>
      <c s="8" r="U325"/>
      <c s="8" r="V325"/>
      <c s="8" r="W325"/>
      <c s="8" r="X325"/>
      <c s="8" r="Y325"/>
      <c s="8" r="Z325"/>
      <c s="8" r="AA325"/>
    </row>
    <row r="326">
      <c t="s" s="7" r="A326">
        <v>1134</v>
      </c>
      <c t="s" s="7" r="B326">
        <v>1135</v>
      </c>
      <c t="s" s="7" r="C326">
        <v>1136</v>
      </c>
      <c s="8" r="D326"/>
      <c s="8" r="E326"/>
      <c s="8" r="F326"/>
      <c s="8" r="G326"/>
      <c s="8" r="H326"/>
      <c s="8" r="I326"/>
      <c s="8" r="J326"/>
      <c s="8" r="K326"/>
      <c s="8" r="L326"/>
      <c s="8" r="M326"/>
      <c s="8" r="N326"/>
      <c s="8" r="O326"/>
      <c s="8" r="P326"/>
      <c s="8" r="Q326"/>
      <c s="8" r="R326"/>
      <c s="8" r="S326"/>
      <c s="8" r="T326"/>
      <c s="8" r="U326"/>
      <c s="8" r="V326"/>
      <c s="8" r="W326"/>
      <c s="8" r="X326"/>
      <c s="8" r="Y326"/>
      <c s="8" r="Z326"/>
      <c s="8" r="AA326"/>
    </row>
    <row r="327">
      <c t="s" s="7" r="A327">
        <v>1137</v>
      </c>
      <c t="s" s="7" r="B327">
        <v>1138</v>
      </c>
      <c t="s" s="7" r="C327">
        <v>1139</v>
      </c>
      <c t="s" s="7" r="D327">
        <v>1140</v>
      </c>
      <c t="str" s="9" r="E327">
        <f>HYPERLINK("https://twitter.com/bigmig214","@bigmig214")</f>
        <v>@bigmig214</v>
      </c>
      <c t="str" s="9" r="F327">
        <f>HYPERLINK("http://instagram.com/bigmig214","@bigmig214")</f>
        <v>@bigmig214</v>
      </c>
      <c t="s" s="7" r="G327">
        <v>1141</v>
      </c>
      <c s="8" r="H327"/>
      <c s="8" r="I327"/>
      <c s="8" r="J327"/>
      <c s="8" r="K327"/>
      <c s="8" r="L327"/>
      <c s="8" r="M327"/>
      <c s="8" r="N327"/>
      <c s="8" r="O327"/>
      <c s="8" r="P327"/>
      <c s="8" r="Q327"/>
      <c s="8" r="R327"/>
      <c s="8" r="S327"/>
      <c s="8" r="T327"/>
      <c s="8" r="U327"/>
      <c s="8" r="V327"/>
      <c s="8" r="W327"/>
      <c s="8" r="X327"/>
      <c s="8" r="Y327"/>
      <c s="8" r="Z327"/>
      <c s="8" r="AA327"/>
    </row>
    <row r="328">
      <c t="s" s="7" r="A328">
        <v>1142</v>
      </c>
      <c t="s" s="7" r="B328">
        <v>1143</v>
      </c>
      <c t="s" s="7" r="C328">
        <v>1144</v>
      </c>
      <c s="8" r="D328"/>
      <c s="8" r="E328"/>
      <c s="8" r="F328"/>
      <c s="8" r="G328"/>
      <c s="8" r="H328"/>
      <c s="8" r="I328"/>
      <c s="8" r="J328"/>
      <c s="8" r="K328"/>
      <c s="8" r="L328"/>
      <c s="8" r="M328"/>
      <c s="8" r="N328"/>
      <c s="8" r="O328"/>
      <c s="8" r="P328"/>
      <c s="8" r="Q328"/>
      <c s="8" r="R328"/>
      <c s="8" r="S328"/>
      <c s="8" r="T328"/>
      <c s="8" r="U328"/>
      <c s="8" r="V328"/>
      <c s="8" r="W328"/>
      <c s="8" r="X328"/>
      <c s="8" r="Y328"/>
      <c s="8" r="Z328"/>
      <c s="8" r="AA328"/>
    </row>
    <row r="329">
      <c t="s" s="7" r="A329">
        <v>1145</v>
      </c>
      <c t="s" s="7" r="B329">
        <v>1146</v>
      </c>
      <c s="7" r="C329"/>
      <c t="s" s="7" r="D329">
        <v>1147</v>
      </c>
      <c t="str" s="9" r="E329">
        <f>HYPERLINK("https://twitter.com/mike_in_canada","@Mike_In_Canada")</f>
        <v>@Mike_In_Canada</v>
      </c>
      <c t="str" s="9" r="F329">
        <f>HYPERLINK("http://instagram.com/MikeInCanada_","@MikeInCanada_")</f>
        <v>@MikeInCanada_</v>
      </c>
      <c t="s" s="7" r="G329">
        <v>1148</v>
      </c>
      <c t="s" s="7" r="H329">
        <v>1149</v>
      </c>
      <c s="8" r="I329"/>
      <c s="8" r="J329"/>
      <c s="8" r="K329"/>
      <c s="8" r="L329"/>
      <c s="8" r="M329"/>
      <c s="8" r="N329"/>
      <c s="8" r="O329"/>
      <c s="8" r="P329"/>
      <c s="8" r="Q329"/>
      <c s="8" r="R329"/>
      <c s="8" r="S329"/>
      <c s="8" r="T329"/>
      <c s="8" r="U329"/>
      <c s="8" r="V329"/>
      <c s="8" r="W329"/>
      <c s="8" r="X329"/>
      <c s="8" r="Y329"/>
      <c s="8" r="Z329"/>
      <c s="8" r="AA329"/>
    </row>
    <row r="330">
      <c t="s" s="7" r="A330">
        <v>1150</v>
      </c>
      <c t="s" s="7" r="B330">
        <v>1151</v>
      </c>
      <c t="s" s="7" r="C330">
        <v>1152</v>
      </c>
      <c s="8" r="D330"/>
      <c s="8" r="E330"/>
      <c s="8" r="F330"/>
      <c s="8" r="G330"/>
      <c s="8" r="H330"/>
      <c s="8" r="I330"/>
      <c s="8" r="J330"/>
      <c s="8" r="K330"/>
      <c s="8" r="L330"/>
      <c s="8" r="M330"/>
      <c s="8" r="N330"/>
      <c s="8" r="O330"/>
      <c s="8" r="P330"/>
      <c s="8" r="Q330"/>
      <c s="8" r="R330"/>
      <c s="8" r="S330"/>
      <c s="8" r="T330"/>
      <c s="8" r="U330"/>
      <c s="8" r="V330"/>
      <c s="8" r="W330"/>
      <c s="8" r="X330"/>
      <c s="8" r="Y330"/>
      <c s="8" r="Z330"/>
      <c s="8" r="AA330"/>
    </row>
    <row r="331">
      <c t="s" s="7" r="A331">
        <v>1153</v>
      </c>
      <c t="s" s="7" r="B331">
        <v>1154</v>
      </c>
      <c t="s" s="7" r="C331">
        <v>1155</v>
      </c>
      <c t="s" s="7" r="D331">
        <v>1156</v>
      </c>
      <c t="str" s="9" r="E331">
        <f>HYPERLINK("https://twitter.com/ridewithtim","@ridewithtim")</f>
        <v>@ridewithtim</v>
      </c>
      <c t="str" s="9" r="F331">
        <f>HYPERLINK("http://instagram.com/ridewithtim","@ridewithtim")</f>
        <v>@ridewithtim</v>
      </c>
      <c s="8" r="G331"/>
      <c t="s" s="7" r="H331">
        <v>1157</v>
      </c>
      <c s="8" r="I331"/>
      <c s="8" r="J331"/>
      <c s="8" r="K331"/>
      <c s="8" r="L331"/>
      <c s="8" r="M331"/>
      <c s="8" r="N331"/>
      <c s="8" r="O331"/>
      <c s="8" r="P331"/>
      <c s="8" r="Q331"/>
      <c s="8" r="R331"/>
      <c s="8" r="S331"/>
      <c s="8" r="T331"/>
      <c s="8" r="U331"/>
      <c s="8" r="V331"/>
      <c s="8" r="W331"/>
      <c s="8" r="X331"/>
      <c s="8" r="Y331"/>
      <c s="8" r="Z331"/>
      <c s="8" r="AA331"/>
    </row>
    <row r="332">
      <c t="s" s="7" r="A332">
        <v>1158</v>
      </c>
      <c t="s" s="7" r="B332">
        <v>1159</v>
      </c>
      <c t="s" s="7" r="C332">
        <v>1160</v>
      </c>
      <c s="8" r="D332"/>
      <c s="8" r="E332"/>
      <c s="8" r="F332"/>
      <c s="8" r="G332"/>
      <c s="8" r="H332"/>
      <c s="8" r="I332"/>
      <c s="8" r="J332"/>
      <c s="8" r="K332"/>
      <c s="8" r="L332"/>
      <c s="8" r="M332"/>
      <c s="8" r="N332"/>
      <c s="8" r="O332"/>
      <c s="8" r="P332"/>
      <c s="8" r="Q332"/>
      <c s="8" r="R332"/>
      <c s="8" r="S332"/>
      <c s="8" r="T332"/>
      <c s="8" r="U332"/>
      <c s="8" r="V332"/>
      <c s="8" r="W332"/>
      <c s="8" r="X332"/>
      <c s="8" r="Y332"/>
      <c s="8" r="Z332"/>
      <c s="8" r="AA332"/>
    </row>
    <row r="333">
      <c t="s" s="7" r="A333">
        <v>1161</v>
      </c>
      <c t="s" s="7" r="B333">
        <v>1162</v>
      </c>
      <c t="s" s="7" r="C333">
        <v>1163</v>
      </c>
      <c s="8" r="D333"/>
      <c s="8" r="E333"/>
      <c s="8" r="F333"/>
      <c s="8" r="G333"/>
      <c s="8" r="H333"/>
      <c s="8" r="I333"/>
      <c s="8" r="J333"/>
      <c s="8" r="K333"/>
      <c s="8" r="L333"/>
      <c s="8" r="M333"/>
      <c s="8" r="N333"/>
      <c s="8" r="O333"/>
      <c s="8" r="P333"/>
      <c s="8" r="Q333"/>
      <c s="8" r="R333"/>
      <c s="8" r="S333"/>
      <c s="8" r="T333"/>
      <c s="8" r="U333"/>
      <c s="8" r="V333"/>
      <c s="8" r="W333"/>
      <c s="8" r="X333"/>
      <c s="8" r="Y333"/>
      <c s="8" r="Z333"/>
      <c s="8" r="AA333"/>
    </row>
    <row r="334">
      <c t="s" s="7" r="A334">
        <v>1164</v>
      </c>
      <c t="s" s="7" r="B334">
        <v>1165</v>
      </c>
      <c t="s" s="7" r="C334">
        <v>1166</v>
      </c>
      <c t="s" s="7" r="D334">
        <v>1167</v>
      </c>
      <c s="8" r="E334"/>
      <c t="str" s="9" r="F334">
        <f>HYPERLINK("http://instagram.com/jared2207","@jared2207")</f>
        <v>@jared2207</v>
      </c>
      <c s="8" r="G334"/>
      <c t="s" s="7" r="H334">
        <v>1168</v>
      </c>
      <c s="8" r="I334"/>
      <c s="8" r="J334"/>
      <c s="8" r="K334"/>
      <c s="8" r="L334"/>
      <c s="8" r="M334"/>
      <c s="8" r="N334"/>
      <c s="8" r="O334"/>
      <c s="8" r="P334"/>
      <c s="8" r="Q334"/>
      <c s="8" r="R334"/>
      <c s="8" r="S334"/>
      <c s="8" r="T334"/>
      <c s="8" r="U334"/>
      <c s="8" r="V334"/>
      <c s="8" r="W334"/>
      <c s="8" r="X334"/>
      <c s="8" r="Y334"/>
      <c s="8" r="Z334"/>
      <c s="8" r="AA334"/>
    </row>
    <row r="335">
      <c t="s" s="7" r="A335">
        <v>1169</v>
      </c>
      <c t="s" s="7" r="B335">
        <v>1170</v>
      </c>
      <c t="s" s="7" r="C335">
        <v>1171</v>
      </c>
      <c s="8" r="D335"/>
      <c s="8" r="E335"/>
      <c s="8" r="F335"/>
      <c s="8" r="G335"/>
      <c s="8" r="H335"/>
      <c s="8" r="I335"/>
      <c s="8" r="J335"/>
      <c s="8" r="K335"/>
      <c s="8" r="L335"/>
      <c s="8" r="M335"/>
      <c s="8" r="N335"/>
      <c s="8" r="O335"/>
      <c s="8" r="P335"/>
      <c s="8" r="Q335"/>
      <c s="8" r="R335"/>
      <c s="8" r="S335"/>
      <c s="8" r="T335"/>
      <c s="8" r="U335"/>
      <c s="8" r="V335"/>
      <c s="8" r="W335"/>
      <c s="8" r="X335"/>
      <c s="8" r="Y335"/>
      <c s="8" r="Z335"/>
      <c s="8" r="AA335"/>
    </row>
    <row r="336">
      <c t="s" s="7" r="A336">
        <v>1172</v>
      </c>
      <c t="s" s="7" r="B336">
        <v>1173</v>
      </c>
      <c t="s" s="7" r="C336">
        <v>1174</v>
      </c>
      <c s="8" r="D336"/>
      <c s="8" r="E336"/>
      <c s="8" r="F336"/>
      <c s="8" r="G336"/>
      <c s="8" r="H336"/>
      <c s="8" r="I336"/>
      <c s="8" r="J336"/>
      <c s="8" r="K336"/>
      <c s="8" r="L336"/>
      <c s="8" r="M336"/>
      <c s="8" r="N336"/>
      <c s="8" r="O336"/>
      <c s="8" r="P336"/>
      <c s="8" r="Q336"/>
      <c s="8" r="R336"/>
      <c s="8" r="S336"/>
      <c s="8" r="T336"/>
      <c s="8" r="U336"/>
      <c s="8" r="V336"/>
      <c s="8" r="W336"/>
      <c s="8" r="X336"/>
      <c s="8" r="Y336"/>
      <c s="8" r="Z336"/>
      <c s="8" r="AA336"/>
    </row>
    <row r="337">
      <c t="s" s="7" r="A337">
        <v>1175</v>
      </c>
      <c t="s" s="7" r="B337">
        <v>1176</v>
      </c>
      <c t="s" s="7" r="C337">
        <v>1177</v>
      </c>
      <c t="s" s="7" r="D337">
        <v>1178</v>
      </c>
      <c t="str" s="9" r="E337">
        <f>HYPERLINK("https://twitter.com/McKaI86","@McKai86")</f>
        <v>@McKai86</v>
      </c>
      <c s="8" r="F337"/>
      <c t="s" s="7" r="G337">
        <v>1179</v>
      </c>
      <c s="8" r="H337"/>
      <c s="8" r="I337"/>
      <c s="8" r="J337"/>
      <c s="8" r="K337"/>
      <c s="8" r="L337"/>
      <c s="8" r="M337"/>
      <c s="8" r="N337"/>
      <c s="8" r="O337"/>
      <c s="8" r="P337"/>
      <c s="8" r="Q337"/>
      <c s="8" r="R337"/>
      <c s="8" r="S337"/>
      <c s="8" r="T337"/>
      <c s="8" r="U337"/>
      <c s="8" r="V337"/>
      <c s="8" r="W337"/>
      <c s="8" r="X337"/>
      <c s="8" r="Y337"/>
      <c s="8" r="Z337"/>
      <c s="8" r="AA337"/>
    </row>
    <row r="338">
      <c t="s" s="7" r="A338">
        <v>1180</v>
      </c>
      <c t="s" s="7" r="B338">
        <v>1181</v>
      </c>
      <c t="s" s="7" r="C338">
        <v>1182</v>
      </c>
      <c s="8" r="D338"/>
      <c s="8" r="E338"/>
      <c s="8" r="F338"/>
      <c s="8" r="G338"/>
      <c s="8" r="H338"/>
      <c s="8" r="I338"/>
      <c s="8" r="J338"/>
      <c s="8" r="K338"/>
      <c s="8" r="L338"/>
      <c s="8" r="M338"/>
      <c s="8" r="N338"/>
      <c s="8" r="O338"/>
      <c s="8" r="P338"/>
      <c s="8" r="Q338"/>
      <c s="8" r="R338"/>
      <c s="8" r="S338"/>
      <c s="8" r="T338"/>
      <c s="8" r="U338"/>
      <c s="8" r="V338"/>
      <c s="8" r="W338"/>
      <c s="8" r="X338"/>
      <c s="8" r="Y338"/>
      <c s="8" r="Z338"/>
      <c s="8" r="AA338"/>
    </row>
    <row r="339">
      <c t="s" s="7" r="A339">
        <v>1183</v>
      </c>
      <c t="s" s="7" r="B339">
        <v>1184</v>
      </c>
      <c t="s" s="7" r="C339">
        <v>1185</v>
      </c>
      <c s="8" r="D339"/>
      <c t="str" s="9" r="E339">
        <f>HYPERLINK("https://twitter.com/Bourne_Paige","@Bourne_Paige")</f>
        <v>@Bourne_Paige</v>
      </c>
      <c t="str" s="9" r="F339">
        <f>HYPERLINK("http://instagram.com/bourne_paige","@Bourne_Paige")</f>
        <v>@Bourne_Paige</v>
      </c>
      <c t="s" s="7" r="G339">
        <v>1186</v>
      </c>
      <c s="8" r="H339"/>
      <c s="8" r="I339"/>
      <c s="8" r="J339"/>
      <c s="8" r="K339"/>
      <c s="8" r="L339"/>
      <c s="8" r="M339"/>
      <c s="8" r="N339"/>
      <c s="8" r="O339"/>
      <c s="8" r="P339"/>
      <c s="8" r="Q339"/>
      <c s="8" r="R339"/>
      <c s="8" r="S339"/>
      <c s="8" r="T339"/>
      <c s="8" r="U339"/>
      <c s="8" r="V339"/>
      <c s="8" r="W339"/>
      <c s="8" r="X339"/>
      <c s="8" r="Y339"/>
      <c s="8" r="Z339"/>
      <c s="8" r="AA339"/>
    </row>
    <row r="340">
      <c t="s" s="7" r="A340">
        <v>1187</v>
      </c>
      <c t="s" s="7" r="B340">
        <v>1188</v>
      </c>
      <c t="s" s="7" r="C340">
        <v>1189</v>
      </c>
      <c t="s" s="7" r="D340">
        <v>1190</v>
      </c>
      <c t="str" s="9" r="E340">
        <f>HYPERLINK("https://twitter.com/Bafsnow","@bafsnow")</f>
        <v>@bafsnow</v>
      </c>
      <c t="str" s="9" r="F340">
        <f>HYPERLINK("http://instagram.com/b.a.f.snow","@b.a.f.snow")</f>
        <v>@b.a.f.snow</v>
      </c>
      <c s="8" r="G340"/>
      <c s="8" r="H340"/>
      <c s="8" r="I340"/>
      <c s="8" r="J340"/>
      <c s="8" r="K340"/>
      <c s="8" r="L340"/>
      <c s="8" r="M340"/>
      <c s="8" r="N340"/>
      <c s="8" r="O340"/>
      <c s="8" r="P340"/>
      <c s="8" r="Q340"/>
      <c s="8" r="R340"/>
      <c s="8" r="S340"/>
      <c s="8" r="T340"/>
      <c s="8" r="U340"/>
      <c s="8" r="V340"/>
      <c s="8" r="W340"/>
      <c s="8" r="X340"/>
      <c s="8" r="Y340"/>
      <c s="8" r="Z340"/>
      <c s="8" r="AA340"/>
    </row>
    <row r="341">
      <c t="s" s="7" r="A341">
        <v>1191</v>
      </c>
      <c t="s" s="7" r="B341">
        <v>1192</v>
      </c>
      <c t="s" s="7" r="C341">
        <v>1193</v>
      </c>
      <c s="8" r="D341"/>
      <c s="8" r="E341"/>
      <c s="8" r="F341"/>
      <c s="8" r="G341"/>
      <c s="8" r="H341"/>
      <c s="8" r="I341"/>
      <c s="8" r="J341"/>
      <c s="8" r="K341"/>
      <c s="8" r="L341"/>
      <c s="8" r="M341"/>
      <c s="8" r="N341"/>
      <c s="8" r="O341"/>
      <c s="8" r="P341"/>
      <c s="8" r="Q341"/>
      <c s="8" r="R341"/>
      <c s="8" r="S341"/>
      <c s="8" r="T341"/>
      <c s="8" r="U341"/>
      <c s="8" r="V341"/>
      <c s="8" r="W341"/>
      <c s="8" r="X341"/>
      <c s="8" r="Y341"/>
      <c s="8" r="Z341"/>
      <c s="8" r="AA341"/>
    </row>
    <row r="342">
      <c t="s" s="7" r="A342">
        <v>1194</v>
      </c>
      <c t="s" s="7" r="B342">
        <v>1195</v>
      </c>
      <c t="s" s="7" r="C342">
        <v>1196</v>
      </c>
      <c s="8" r="D342"/>
      <c s="8" r="E342"/>
      <c s="8" r="F342"/>
      <c s="8" r="G342"/>
      <c s="8" r="H342"/>
      <c s="8" r="I342"/>
      <c s="8" r="J342"/>
      <c s="8" r="K342"/>
      <c s="8" r="L342"/>
      <c s="8" r="M342"/>
      <c s="8" r="N342"/>
      <c s="8" r="O342"/>
      <c s="8" r="P342"/>
      <c s="8" r="Q342"/>
      <c s="8" r="R342"/>
      <c s="8" r="S342"/>
      <c s="8" r="T342"/>
      <c s="8" r="U342"/>
      <c s="8" r="V342"/>
      <c s="8" r="W342"/>
      <c s="8" r="X342"/>
      <c s="8" r="Y342"/>
      <c s="8" r="Z342"/>
      <c s="8" r="AA342"/>
    </row>
    <row r="343">
      <c t="s" s="7" r="A343">
        <v>1197</v>
      </c>
      <c t="s" s="7" r="B343">
        <v>1198</v>
      </c>
      <c t="s" s="7" r="C343">
        <v>1199</v>
      </c>
      <c s="8" r="D343"/>
      <c s="8" r="E343"/>
      <c s="8" r="F343"/>
      <c s="8" r="G343"/>
      <c s="8" r="H343"/>
      <c s="8" r="I343"/>
      <c s="8" r="J343"/>
      <c s="8" r="K343"/>
      <c s="8" r="L343"/>
      <c s="8" r="M343"/>
      <c s="8" r="N343"/>
      <c s="8" r="O343"/>
      <c s="8" r="P343"/>
      <c s="8" r="Q343"/>
      <c s="8" r="R343"/>
      <c s="8" r="S343"/>
      <c s="8" r="T343"/>
      <c s="8" r="U343"/>
      <c s="8" r="V343"/>
      <c s="8" r="W343"/>
      <c s="8" r="X343"/>
      <c s="8" r="Y343"/>
      <c s="8" r="Z343"/>
      <c s="8" r="AA343"/>
    </row>
    <row r="344">
      <c t="s" s="7" r="A344">
        <v>1200</v>
      </c>
      <c t="s" s="7" r="B344">
        <v>1201</v>
      </c>
      <c t="s" s="7" r="C344">
        <v>1202</v>
      </c>
      <c s="8" r="D344"/>
      <c s="8" r="E344"/>
      <c s="8" r="F344"/>
      <c s="8" r="G344"/>
      <c s="8" r="H344"/>
      <c s="8" r="I344"/>
      <c s="8" r="J344"/>
      <c s="8" r="K344"/>
      <c s="8" r="L344"/>
      <c s="8" r="M344"/>
      <c s="8" r="N344"/>
      <c s="8" r="O344"/>
      <c s="8" r="P344"/>
      <c s="8" r="Q344"/>
      <c s="8" r="R344"/>
      <c s="8" r="S344"/>
      <c s="8" r="T344"/>
      <c s="8" r="U344"/>
      <c s="8" r="V344"/>
      <c s="8" r="W344"/>
      <c s="8" r="X344"/>
      <c s="8" r="Y344"/>
      <c s="8" r="Z344"/>
      <c s="8" r="AA344"/>
    </row>
    <row r="345">
      <c t="s" s="7" r="A345">
        <v>1203</v>
      </c>
      <c t="s" s="7" r="B345">
        <v>1204</v>
      </c>
      <c t="s" s="7" r="C345">
        <v>1205</v>
      </c>
      <c s="8" r="D345"/>
      <c s="8" r="E345"/>
      <c s="8" r="F345"/>
      <c s="8" r="G345"/>
      <c s="8" r="H345"/>
      <c s="8" r="I345"/>
      <c s="8" r="J345"/>
      <c s="8" r="K345"/>
      <c s="8" r="L345"/>
      <c s="8" r="M345"/>
      <c s="8" r="N345"/>
      <c s="8" r="O345"/>
      <c s="8" r="P345"/>
      <c s="8" r="Q345"/>
      <c s="8" r="R345"/>
      <c s="8" r="S345"/>
      <c s="8" r="T345"/>
      <c s="8" r="U345"/>
      <c s="8" r="V345"/>
      <c s="8" r="W345"/>
      <c s="8" r="X345"/>
      <c s="8" r="Y345"/>
      <c s="8" r="Z345"/>
      <c s="8" r="AA345"/>
    </row>
    <row r="346">
      <c t="s" s="7" r="A346">
        <v>1206</v>
      </c>
      <c t="s" s="7" r="B346">
        <v>1207</v>
      </c>
      <c t="s" s="7" r="C346">
        <v>1208</v>
      </c>
      <c t="s" s="7" r="D346">
        <v>1209</v>
      </c>
      <c s="8" r="E346"/>
      <c s="8" r="F346"/>
      <c t="s" s="7" r="G346">
        <v>1210</v>
      </c>
      <c s="8" r="H346"/>
      <c s="8" r="I346"/>
      <c s="8" r="J346"/>
      <c s="8" r="K346"/>
      <c s="8" r="L346"/>
      <c s="8" r="M346"/>
      <c s="8" r="N346"/>
      <c s="8" r="O346"/>
      <c s="8" r="P346"/>
      <c s="8" r="Q346"/>
      <c s="8" r="R346"/>
      <c s="8" r="S346"/>
      <c s="8" r="T346"/>
      <c s="8" r="U346"/>
      <c s="8" r="V346"/>
      <c s="8" r="W346"/>
      <c s="8" r="X346"/>
      <c s="8" r="Y346"/>
      <c s="8" r="Z346"/>
      <c s="8" r="AA346"/>
    </row>
    <row r="347">
      <c t="s" s="7" r="A347">
        <v>1211</v>
      </c>
      <c t="s" s="7" r="B347">
        <v>1212</v>
      </c>
      <c t="s" s="7" r="C347">
        <v>1213</v>
      </c>
      <c t="s" s="7" r="D347">
        <v>1214</v>
      </c>
      <c t="str" s="9" r="E347">
        <f>HYPERLINK("https://twitter.com/Rossetti702","@Rossetti702")</f>
        <v>@Rossetti702</v>
      </c>
      <c s="8" r="F347"/>
      <c s="8" r="G347"/>
      <c t="s" s="7" r="H347">
        <v>1215</v>
      </c>
      <c s="8" r="I347"/>
      <c s="8" r="J347"/>
      <c s="8" r="K347"/>
      <c s="8" r="L347"/>
      <c s="8" r="M347"/>
      <c s="8" r="N347"/>
      <c s="8" r="O347"/>
      <c s="8" r="P347"/>
      <c s="8" r="Q347"/>
      <c s="8" r="R347"/>
      <c s="8" r="S347"/>
      <c s="8" r="T347"/>
      <c s="8" r="U347"/>
      <c s="8" r="V347"/>
      <c s="8" r="W347"/>
      <c s="8" r="X347"/>
      <c s="8" r="Y347"/>
      <c s="8" r="Z347"/>
      <c s="8" r="AA347"/>
    </row>
    <row r="348">
      <c t="s" s="7" r="A348">
        <v>1216</v>
      </c>
      <c t="s" s="7" r="B348">
        <v>1217</v>
      </c>
      <c t="s" s="7" r="C348">
        <v>1218</v>
      </c>
      <c t="s" s="7" r="D348">
        <v>1219</v>
      </c>
      <c t="str" s="9" r="E348">
        <f>HYPERLINK("https://twitter.com/Edgell59_Ethan","@Edgell59_Ethan")</f>
        <v>@Edgell59_Ethan</v>
      </c>
      <c t="str" s="9" r="F348">
        <f>HYPERLINK("http://instagram.com/ninjaflyingedgell","@ninjaflyingedgell")</f>
        <v>@ninjaflyingedgell</v>
      </c>
      <c s="8" r="G348"/>
      <c s="8" r="H348"/>
      <c s="8" r="I348"/>
      <c s="8" r="J348"/>
      <c s="8" r="K348"/>
      <c s="8" r="L348"/>
      <c s="8" r="M348"/>
      <c s="8" r="N348"/>
      <c s="8" r="O348"/>
      <c s="8" r="P348"/>
      <c s="8" r="Q348"/>
      <c s="8" r="R348"/>
      <c s="8" r="S348"/>
      <c s="8" r="T348"/>
      <c s="8" r="U348"/>
      <c s="8" r="V348"/>
      <c s="8" r="W348"/>
      <c s="8" r="X348"/>
      <c s="8" r="Y348"/>
      <c s="8" r="Z348"/>
      <c s="8" r="AA348"/>
    </row>
    <row r="349">
      <c t="s" s="7" r="A349">
        <v>1220</v>
      </c>
      <c t="s" s="7" r="B349">
        <v>1221</v>
      </c>
      <c t="s" s="7" r="C349">
        <v>1222</v>
      </c>
      <c t="s" s="7" r="D349">
        <v>1223</v>
      </c>
      <c t="str" s="9" r="E349">
        <f>HYPERLINK("https://twitter.com/AmeralReid","@ameralreid")</f>
        <v>@ameralreid</v>
      </c>
      <c t="str" s="9" r="F349">
        <f>HYPERLINK("http://instagram.com/amy_nipplopolis","@amy_nipplopolis")</f>
        <v>@amy_nipplopolis</v>
      </c>
      <c t="s" s="7" r="G349">
        <v>1224</v>
      </c>
      <c t="s" s="7" r="H349">
        <v>1225</v>
      </c>
      <c s="8" r="I349"/>
      <c s="8" r="J349"/>
      <c s="8" r="K349"/>
      <c s="8" r="L349"/>
      <c s="8" r="M349"/>
      <c s="8" r="N349"/>
      <c s="8" r="O349"/>
      <c s="8" r="P349"/>
      <c s="8" r="Q349"/>
      <c s="8" r="R349"/>
      <c s="8" r="S349"/>
      <c s="8" r="T349"/>
      <c s="8" r="U349"/>
      <c s="8" r="V349"/>
      <c s="8" r="W349"/>
      <c s="8" r="X349"/>
      <c s="8" r="Y349"/>
      <c s="8" r="Z349"/>
      <c s="8" r="AA349"/>
    </row>
    <row r="350">
      <c t="s" s="7" r="A350">
        <v>1226</v>
      </c>
      <c t="s" s="7" r="B350">
        <v>1227</v>
      </c>
      <c t="s" s="7" r="C350">
        <v>1228</v>
      </c>
      <c s="8" r="D350"/>
      <c s="8" r="E350"/>
      <c s="8" r="F350"/>
      <c s="8" r="G350"/>
      <c s="8" r="H350"/>
      <c s="8" r="I350"/>
      <c s="8" r="J350"/>
      <c s="8" r="K350"/>
      <c s="8" r="L350"/>
      <c s="8" r="M350"/>
      <c s="8" r="N350"/>
      <c s="8" r="O350"/>
      <c s="8" r="P350"/>
      <c s="8" r="Q350"/>
      <c s="8" r="R350"/>
      <c s="8" r="S350"/>
      <c s="8" r="T350"/>
      <c s="8" r="U350"/>
      <c s="8" r="V350"/>
      <c s="8" r="W350"/>
      <c s="8" r="X350"/>
      <c s="8" r="Y350"/>
      <c s="8" r="Z350"/>
      <c s="8" r="AA350"/>
    </row>
    <row r="351">
      <c t="s" s="7" r="A351">
        <v>1229</v>
      </c>
      <c t="s" s="7" r="B351">
        <v>1230</v>
      </c>
      <c t="s" s="7" r="C351">
        <v>1231</v>
      </c>
      <c s="8" r="D351"/>
      <c s="8" r="E351"/>
      <c s="8" r="F351"/>
      <c s="8" r="G351"/>
      <c s="8" r="H351"/>
      <c s="8" r="I351"/>
      <c s="8" r="J351"/>
      <c s="8" r="K351"/>
      <c s="8" r="L351"/>
      <c s="8" r="M351"/>
      <c s="8" r="N351"/>
      <c s="8" r="O351"/>
      <c s="8" r="P351"/>
      <c s="8" r="Q351"/>
      <c s="8" r="R351"/>
      <c s="8" r="S351"/>
      <c s="8" r="T351"/>
      <c s="8" r="U351"/>
      <c s="8" r="V351"/>
      <c s="8" r="W351"/>
      <c s="8" r="X351"/>
      <c s="8" r="Y351"/>
      <c s="8" r="Z351"/>
      <c s="8" r="AA351"/>
    </row>
    <row r="352">
      <c t="s" s="7" r="A352">
        <v>1232</v>
      </c>
      <c t="s" s="7" r="B352">
        <v>1233</v>
      </c>
      <c t="s" s="7" r="C352">
        <v>1234</v>
      </c>
      <c s="8" r="D352"/>
      <c s="8" r="E352"/>
      <c s="8" r="F352"/>
      <c s="8" r="G352"/>
      <c s="8" r="H352"/>
      <c s="8" r="I352"/>
      <c s="8" r="J352"/>
      <c s="8" r="K352"/>
      <c s="8" r="L352"/>
      <c s="8" r="M352"/>
      <c s="8" r="N352"/>
      <c s="8" r="O352"/>
      <c s="8" r="P352"/>
      <c s="8" r="Q352"/>
      <c s="8" r="R352"/>
      <c s="8" r="S352"/>
      <c s="8" r="T352"/>
      <c s="8" r="U352"/>
      <c s="8" r="V352"/>
      <c s="8" r="W352"/>
      <c s="8" r="X352"/>
      <c s="8" r="Y352"/>
      <c s="8" r="Z352"/>
      <c s="8" r="AA352"/>
    </row>
    <row r="353">
      <c t="s" s="7" r="A353">
        <v>1235</v>
      </c>
      <c t="s" s="7" r="B353">
        <v>1236</v>
      </c>
      <c t="s" s="7" r="C353">
        <v>1237</v>
      </c>
      <c t="s" s="7" r="D353">
        <v>1238</v>
      </c>
      <c t="str" s="9" r="E353">
        <f>HYPERLINK("https://twitter.com/DJM16","@DJM16")</f>
        <v>@DJM16</v>
      </c>
      <c t="str" s="9" r="F353">
        <f>HYPERLINK("http://instagram.com/emsixtene","@EMSIXTENE")</f>
        <v>@EMSIXTENE</v>
      </c>
      <c s="8" r="G353"/>
      <c s="8" r="H353"/>
      <c s="8" r="I353"/>
      <c s="8" r="J353"/>
      <c s="8" r="K353"/>
      <c s="8" r="L353"/>
      <c s="8" r="M353"/>
      <c s="8" r="N353"/>
      <c s="8" r="O353"/>
      <c s="8" r="P353"/>
      <c s="8" r="Q353"/>
      <c s="8" r="R353"/>
      <c s="8" r="S353"/>
      <c s="8" r="T353"/>
      <c s="8" r="U353"/>
      <c s="8" r="V353"/>
      <c s="8" r="W353"/>
      <c s="8" r="X353"/>
      <c s="8" r="Y353"/>
      <c s="8" r="Z353"/>
      <c s="8" r="AA353"/>
    </row>
    <row r="354">
      <c t="s" s="7" r="A354">
        <v>1239</v>
      </c>
      <c t="s" s="7" r="B354">
        <v>1240</v>
      </c>
      <c t="s" s="7" r="C354">
        <v>1241</v>
      </c>
      <c t="s" s="7" r="D354">
        <v>1242</v>
      </c>
      <c t="str" s="9" r="E354">
        <f>HYPERLINK("https://twitter.com/J_GRAY1","@J_GRAY1")</f>
        <v>@J_GRAY1</v>
      </c>
      <c t="str" s="9" r="F354">
        <f>HYPERLINK("http://instagram.com/shade_of_gray","@shade_of_gray")</f>
        <v>@shade_of_gray</v>
      </c>
      <c t="s" s="7" r="G354">
        <v>1243</v>
      </c>
      <c s="8" r="H354"/>
      <c s="8" r="I354"/>
      <c s="8" r="J354"/>
      <c s="8" r="K354"/>
      <c s="8" r="L354"/>
      <c s="8" r="M354"/>
      <c s="8" r="N354"/>
      <c s="8" r="O354"/>
      <c s="8" r="P354"/>
      <c s="8" r="Q354"/>
      <c s="8" r="R354"/>
      <c s="8" r="S354"/>
      <c s="8" r="T354"/>
      <c s="8" r="U354"/>
      <c s="8" r="V354"/>
      <c s="8" r="W354"/>
      <c s="8" r="X354"/>
      <c s="8" r="Y354"/>
      <c s="8" r="Z354"/>
      <c s="8" r="AA354"/>
    </row>
    <row r="355">
      <c t="s" s="7" r="A355">
        <v>1244</v>
      </c>
      <c t="s" s="7" r="B355">
        <v>1245</v>
      </c>
      <c t="s" s="7" r="C355">
        <v>1246</v>
      </c>
      <c t="s" s="7" r="D355">
        <v>1247</v>
      </c>
      <c t="str" s="9" r="E355">
        <f>HYPERLINK("https://twitter.com/Saveit4thewar","@saveit4thewar")</f>
        <v>@saveit4thewar</v>
      </c>
      <c t="str" s="9" r="F355">
        <f>HYPERLINK("http://instagram.com/delahoya_rds","@delahoya_rds")</f>
        <v>@delahoya_rds</v>
      </c>
      <c s="8" r="G355"/>
      <c s="8" r="H355"/>
      <c s="8" r="I355"/>
      <c s="8" r="J355"/>
      <c s="8" r="K355"/>
      <c s="8" r="L355"/>
      <c s="8" r="M355"/>
      <c s="8" r="N355"/>
      <c s="8" r="O355"/>
      <c s="8" r="P355"/>
      <c s="8" r="Q355"/>
      <c s="8" r="R355"/>
      <c s="8" r="S355"/>
      <c s="8" r="T355"/>
      <c s="8" r="U355"/>
      <c s="8" r="V355"/>
      <c s="8" r="W355"/>
      <c s="8" r="X355"/>
      <c s="8" r="Y355"/>
      <c s="8" r="Z355"/>
      <c s="8" r="AA355"/>
    </row>
    <row r="356">
      <c t="s" s="7" r="A356">
        <v>1248</v>
      </c>
      <c t="s" s="7" r="B356">
        <v>1249</v>
      </c>
      <c t="s" s="7" r="C356">
        <v>1250</v>
      </c>
      <c t="s" s="7" r="D356">
        <v>1251</v>
      </c>
      <c t="str" s="9" r="E356">
        <f>HYPERLINK("https://twitter.com/Jeff_H8R","@Jeff_H8R")</f>
        <v>@Jeff_H8R</v>
      </c>
      <c t="str" s="9" r="F356">
        <f>HYPERLINK("http://instagram.com/overgrownseamonkey","@overgrownseamonkey")</f>
        <v>@overgrownseamonkey</v>
      </c>
      <c s="8" r="G356"/>
      <c s="8" r="H356"/>
      <c s="8" r="I356"/>
      <c s="8" r="J356"/>
      <c s="8" r="K356"/>
      <c s="8" r="L356"/>
      <c s="8" r="M356"/>
      <c s="8" r="N356"/>
      <c s="8" r="O356"/>
      <c s="8" r="P356"/>
      <c s="8" r="Q356"/>
      <c s="8" r="R356"/>
      <c s="8" r="S356"/>
      <c s="8" r="T356"/>
      <c s="8" r="U356"/>
      <c s="8" r="V356"/>
      <c s="8" r="W356"/>
      <c s="8" r="X356"/>
      <c s="8" r="Y356"/>
      <c s="8" r="Z356"/>
      <c s="8" r="AA356"/>
    </row>
    <row r="357">
      <c t="s" s="7" r="A357">
        <v>1252</v>
      </c>
      <c t="s" s="7" r="B357">
        <v>1253</v>
      </c>
      <c t="s" s="7" r="C357">
        <v>1254</v>
      </c>
      <c t="s" s="7" r="D357">
        <v>1255</v>
      </c>
      <c t="str" s="9" r="E357">
        <f>HYPERLINK("https://twitter.com/Tarfugaming","@Tarfugaming")</f>
        <v>@Tarfugaming</v>
      </c>
      <c t="str" s="9" r="F357">
        <f>HYPERLINK("http://instagram.com/tarfugaming","@Tarfugaming")</f>
        <v>@Tarfugaming</v>
      </c>
      <c t="s" s="7" r="G357">
        <v>1256</v>
      </c>
      <c s="8" r="H357"/>
      <c s="8" r="I357"/>
      <c s="8" r="J357"/>
      <c s="8" r="K357"/>
      <c s="8" r="L357"/>
      <c s="8" r="M357"/>
      <c s="8" r="N357"/>
      <c s="8" r="O357"/>
      <c s="8" r="P357"/>
      <c s="8" r="Q357"/>
      <c s="8" r="R357"/>
      <c s="8" r="S357"/>
      <c s="8" r="T357"/>
      <c s="8" r="U357"/>
      <c s="8" r="V357"/>
      <c s="8" r="W357"/>
      <c s="8" r="X357"/>
      <c s="8" r="Y357"/>
      <c s="8" r="Z357"/>
      <c s="8" r="AA357"/>
    </row>
    <row r="358">
      <c t="s" s="7" r="A358">
        <v>1257</v>
      </c>
      <c t="s" s="7" r="B358">
        <v>1258</v>
      </c>
      <c t="s" s="7" r="C358">
        <v>1259</v>
      </c>
      <c s="8" r="D358"/>
      <c s="8" r="E358"/>
      <c s="8" r="F358"/>
      <c s="8" r="G358"/>
      <c s="8" r="H358"/>
      <c s="8" r="I358"/>
      <c s="8" r="J358"/>
      <c s="8" r="K358"/>
      <c s="8" r="L358"/>
      <c s="8" r="M358"/>
      <c s="8" r="N358"/>
      <c s="8" r="O358"/>
      <c s="8" r="P358"/>
      <c s="8" r="Q358"/>
      <c s="8" r="R358"/>
      <c s="8" r="S358"/>
      <c s="8" r="T358"/>
      <c s="8" r="U358"/>
      <c s="8" r="V358"/>
      <c s="8" r="W358"/>
      <c s="8" r="X358"/>
      <c s="8" r="Y358"/>
      <c s="8" r="Z358"/>
      <c s="8" r="AA358"/>
    </row>
    <row r="359">
      <c t="s" s="7" r="A359">
        <v>1260</v>
      </c>
      <c t="s" s="7" r="B359">
        <v>1261</v>
      </c>
      <c t="s" s="7" r="C359">
        <v>1262</v>
      </c>
      <c s="8" r="D359"/>
      <c s="8" r="E359"/>
      <c s="8" r="F359"/>
      <c s="8" r="G359"/>
      <c s="8" r="H359"/>
      <c s="8" r="I359"/>
      <c s="8" r="J359"/>
      <c s="8" r="K359"/>
      <c s="8" r="L359"/>
      <c s="8" r="M359"/>
      <c s="8" r="N359"/>
      <c s="8" r="O359"/>
      <c s="8" r="P359"/>
      <c s="8" r="Q359"/>
      <c s="8" r="R359"/>
      <c s="8" r="S359"/>
      <c s="8" r="T359"/>
      <c s="8" r="U359"/>
      <c s="8" r="V359"/>
      <c s="8" r="W359"/>
      <c s="8" r="X359"/>
      <c s="8" r="Y359"/>
      <c s="8" r="Z359"/>
      <c s="8" r="AA359"/>
    </row>
    <row r="360">
      <c t="s" s="7" r="A360">
        <v>1263</v>
      </c>
      <c t="s" s="7" r="B360">
        <v>1264</v>
      </c>
      <c t="s" s="7" r="C360">
        <v>1265</v>
      </c>
      <c s="8" r="D360"/>
      <c s="8" r="E360"/>
      <c s="8" r="F360"/>
      <c s="8" r="G360"/>
      <c s="8" r="H360"/>
      <c s="8" r="I360"/>
      <c s="8" r="J360"/>
      <c s="8" r="K360"/>
      <c s="8" r="L360"/>
      <c s="8" r="M360"/>
      <c s="8" r="N360"/>
      <c s="8" r="O360"/>
      <c s="8" r="P360"/>
      <c s="8" r="Q360"/>
      <c s="8" r="R360"/>
      <c s="8" r="S360"/>
      <c s="8" r="T360"/>
      <c s="8" r="U360"/>
      <c s="8" r="V360"/>
      <c s="8" r="W360"/>
      <c s="8" r="X360"/>
      <c s="8" r="Y360"/>
      <c s="8" r="Z360"/>
      <c s="8" r="AA360"/>
    </row>
    <row r="361">
      <c t="s" s="7" r="A361">
        <v>1266</v>
      </c>
      <c t="s" s="7" r="B361">
        <v>1267</v>
      </c>
      <c t="s" s="7" r="C361">
        <v>1268</v>
      </c>
      <c s="8" r="D361"/>
      <c s="8" r="E361"/>
      <c s="8" r="F361"/>
      <c s="8" r="G361"/>
      <c s="8" r="H361"/>
      <c s="8" r="I361"/>
      <c s="8" r="J361"/>
      <c s="8" r="K361"/>
      <c s="8" r="L361"/>
      <c s="8" r="M361"/>
      <c s="8" r="N361"/>
      <c s="8" r="O361"/>
      <c s="8" r="P361"/>
      <c s="8" r="Q361"/>
      <c s="8" r="R361"/>
      <c s="8" r="S361"/>
      <c s="8" r="T361"/>
      <c s="8" r="U361"/>
      <c s="8" r="V361"/>
      <c s="8" r="W361"/>
      <c s="8" r="X361"/>
      <c s="8" r="Y361"/>
      <c s="8" r="Z361"/>
      <c s="8" r="AA361"/>
    </row>
    <row r="362">
      <c t="s" s="7" r="A362">
        <v>1269</v>
      </c>
      <c t="s" s="7" r="B362">
        <v>1270</v>
      </c>
      <c t="s" s="7" r="C362">
        <v>1271</v>
      </c>
      <c s="8" r="D362"/>
      <c s="8" r="E362"/>
      <c s="8" r="F362"/>
      <c s="8" r="G362"/>
      <c s="8" r="H362"/>
      <c s="8" r="I362"/>
      <c s="8" r="J362"/>
      <c s="8" r="K362"/>
      <c s="8" r="L362"/>
      <c s="8" r="M362"/>
      <c s="8" r="N362"/>
      <c s="8" r="O362"/>
      <c s="8" r="P362"/>
      <c s="8" r="Q362"/>
      <c s="8" r="R362"/>
      <c s="8" r="S362"/>
      <c s="8" r="T362"/>
      <c s="8" r="U362"/>
      <c s="8" r="V362"/>
      <c s="8" r="W362"/>
      <c s="8" r="X362"/>
      <c s="8" r="Y362"/>
      <c s="8" r="Z362"/>
      <c s="8" r="AA362"/>
    </row>
    <row r="363">
      <c t="s" s="7" r="A363">
        <v>1272</v>
      </c>
      <c t="s" s="7" r="B363">
        <v>1273</v>
      </c>
      <c t="s" s="7" r="C363">
        <v>1274</v>
      </c>
      <c t="s" s="7" r="D363">
        <v>1275</v>
      </c>
      <c t="str" s="9" r="E363">
        <f>HYPERLINK("https://twitter.com/lindmaer","@lindmaer")</f>
        <v>@lindmaer</v>
      </c>
      <c t="str" s="9" r="F363">
        <f>HYPERLINK("http://instagram.com/lindmaer","@LINDMAER")</f>
        <v>@LINDMAER</v>
      </c>
      <c t="s" s="7" r="G363">
        <v>1276</v>
      </c>
      <c t="s" s="7" r="H363">
        <v>1277</v>
      </c>
      <c s="8" r="I363"/>
      <c s="8" r="J363"/>
      <c s="8" r="K363"/>
      <c s="8" r="L363"/>
      <c s="8" r="M363"/>
      <c s="8" r="N363"/>
      <c s="8" r="O363"/>
      <c s="8" r="P363"/>
      <c s="8" r="Q363"/>
      <c s="8" r="R363"/>
      <c s="8" r="S363"/>
      <c s="8" r="T363"/>
      <c s="8" r="U363"/>
      <c s="8" r="V363"/>
      <c s="8" r="W363"/>
      <c s="8" r="X363"/>
      <c s="8" r="Y363"/>
      <c s="8" r="Z363"/>
      <c s="8" r="AA363"/>
    </row>
    <row r="364">
      <c t="s" s="7" r="A364">
        <v>1278</v>
      </c>
      <c t="s" s="7" r="B364">
        <v>1279</v>
      </c>
      <c t="s" s="7" r="C364">
        <v>1280</v>
      </c>
      <c t="s" s="7" r="D364">
        <v>1281</v>
      </c>
      <c t="str" s="9" r="E364">
        <f>HYPERLINK("https://twitter.com/CWendenburg","@CWendenburg")</f>
        <v>@CWendenburg</v>
      </c>
      <c t="str" s="9" r="F364">
        <f>HYPERLINK("http://instagram.com/taugen","@Taugen")</f>
        <v>@Taugen</v>
      </c>
      <c s="8" r="G364"/>
      <c s="8" r="H364"/>
      <c s="8" r="I364"/>
      <c s="8" r="J364"/>
      <c s="8" r="K364"/>
      <c s="8" r="L364"/>
      <c s="8" r="M364"/>
      <c s="8" r="N364"/>
      <c s="8" r="O364"/>
      <c s="8" r="P364"/>
      <c s="8" r="Q364"/>
      <c s="8" r="R364"/>
      <c s="8" r="S364"/>
      <c s="8" r="T364"/>
      <c s="8" r="U364"/>
      <c s="8" r="V364"/>
      <c s="8" r="W364"/>
      <c s="8" r="X364"/>
      <c s="8" r="Y364"/>
      <c s="8" r="Z364"/>
      <c s="8" r="AA364"/>
    </row>
    <row r="365">
      <c t="s" s="7" r="A365">
        <v>1282</v>
      </c>
      <c t="s" s="7" r="B365">
        <v>1283</v>
      </c>
      <c t="s" s="7" r="C365">
        <v>1284</v>
      </c>
      <c s="8" r="D365"/>
      <c s="8" r="E365"/>
      <c s="8" r="F365"/>
      <c s="8" r="G365"/>
      <c s="8" r="H365"/>
      <c s="8" r="I365"/>
      <c s="8" r="J365"/>
      <c s="8" r="K365"/>
      <c s="8" r="L365"/>
      <c s="8" r="M365"/>
      <c s="8" r="N365"/>
      <c s="8" r="O365"/>
      <c s="8" r="P365"/>
      <c s="8" r="Q365"/>
      <c s="8" r="R365"/>
      <c s="8" r="S365"/>
      <c s="8" r="T365"/>
      <c s="8" r="U365"/>
      <c s="8" r="V365"/>
      <c s="8" r="W365"/>
      <c s="8" r="X365"/>
      <c s="8" r="Y365"/>
      <c s="8" r="Z365"/>
      <c s="8" r="AA365"/>
    </row>
    <row r="366">
      <c t="s" s="7" r="A366">
        <v>1285</v>
      </c>
      <c t="s" s="7" r="B366">
        <v>1286</v>
      </c>
      <c t="s" s="7" r="C366">
        <v>1287</v>
      </c>
      <c s="8" r="D366"/>
      <c s="8" r="E366"/>
      <c s="8" r="F366"/>
      <c s="8" r="G366"/>
      <c s="8" r="H366"/>
      <c s="8" r="I366"/>
      <c s="8" r="J366"/>
      <c s="8" r="K366"/>
      <c s="8" r="L366"/>
      <c s="8" r="M366"/>
      <c s="8" r="N366"/>
      <c s="8" r="O366"/>
      <c s="8" r="P366"/>
      <c s="8" r="Q366"/>
      <c s="8" r="R366"/>
      <c s="8" r="S366"/>
      <c s="8" r="T366"/>
      <c s="8" r="U366"/>
      <c s="8" r="V366"/>
      <c s="8" r="W366"/>
      <c s="8" r="X366"/>
      <c s="8" r="Y366"/>
      <c s="8" r="Z366"/>
      <c s="8" r="AA366"/>
    </row>
    <row r="367">
      <c t="s" s="7" r="A367">
        <v>1288</v>
      </c>
      <c t="s" s="7" r="B367">
        <v>1289</v>
      </c>
      <c t="s" s="7" r="C367">
        <v>1290</v>
      </c>
      <c t="s" s="16" r="D367">
        <v>1291</v>
      </c>
      <c t="str" s="9" r="E367">
        <f>HYPERLINK("https://twitter.com/need_rehab","@need_rehab")</f>
        <v>@need_rehab</v>
      </c>
      <c t="str" s="9" r="F367">
        <f>HYPERLINK("http://instagram.com/alberthiaume","@alberthiaume")</f>
        <v>@alberthiaume</v>
      </c>
      <c s="8" r="G367"/>
      <c s="8" r="H367"/>
      <c s="8" r="I367"/>
      <c s="8" r="J367"/>
      <c s="8" r="K367"/>
      <c s="8" r="L367"/>
      <c s="8" r="M367"/>
      <c s="8" r="N367"/>
      <c s="8" r="O367"/>
      <c s="8" r="P367"/>
      <c s="8" r="Q367"/>
      <c s="8" r="R367"/>
      <c s="8" r="S367"/>
      <c s="8" r="T367"/>
      <c s="8" r="U367"/>
      <c s="8" r="V367"/>
      <c s="8" r="W367"/>
      <c s="8" r="X367"/>
      <c s="8" r="Y367"/>
      <c s="8" r="Z367"/>
      <c s="8" r="AA367"/>
    </row>
    <row r="368">
      <c t="s" s="7" r="A368">
        <v>1292</v>
      </c>
      <c t="s" s="7" r="B368">
        <v>1293</v>
      </c>
      <c t="s" s="7" r="C368">
        <v>1294</v>
      </c>
      <c s="7" r="D368"/>
      <c s="8" r="E368"/>
      <c s="16" r="F368"/>
      <c s="8" r="G368"/>
      <c s="8" r="H368"/>
      <c s="8" r="I368"/>
      <c s="8" r="J368"/>
      <c s="8" r="K368"/>
      <c s="8" r="L368"/>
      <c s="8" r="M368"/>
      <c s="8" r="N368"/>
      <c s="8" r="O368"/>
      <c s="8" r="P368"/>
      <c s="8" r="Q368"/>
      <c s="8" r="R368"/>
      <c s="8" r="S368"/>
      <c s="8" r="T368"/>
      <c s="8" r="U368"/>
      <c s="8" r="V368"/>
      <c s="8" r="W368"/>
      <c s="8" r="X368"/>
      <c s="8" r="Y368"/>
      <c s="8" r="Z368"/>
      <c s="8" r="AA368"/>
    </row>
    <row r="369">
      <c t="s" s="7" r="A369">
        <v>1295</v>
      </c>
      <c t="s" s="7" r="B369">
        <v>1296</v>
      </c>
      <c t="s" s="7" r="C369">
        <v>1297</v>
      </c>
      <c t="s" s="7" r="D369">
        <v>1298</v>
      </c>
      <c s="8" r="E369"/>
      <c t="str" s="9" r="F369">
        <f>HYPERLINK("http://instagram.com/Philthiest","@philthiest")</f>
        <v>@philthiest</v>
      </c>
      <c s="8" r="G369"/>
      <c s="8" r="H369"/>
      <c s="8" r="I369"/>
      <c s="8" r="J369"/>
      <c s="8" r="K369"/>
      <c s="8" r="L369"/>
      <c s="8" r="M369"/>
      <c s="8" r="N369"/>
      <c s="8" r="O369"/>
      <c s="8" r="P369"/>
      <c s="8" r="Q369"/>
      <c s="8" r="R369"/>
      <c s="8" r="S369"/>
      <c s="8" r="T369"/>
      <c s="8" r="U369"/>
      <c s="8" r="V369"/>
      <c s="8" r="W369"/>
      <c s="8" r="X369"/>
      <c s="8" r="Y369"/>
      <c s="8" r="Z369"/>
      <c s="8" r="AA369"/>
    </row>
    <row r="370">
      <c t="s" s="7" r="A370">
        <v>1299</v>
      </c>
      <c t="s" s="7" r="B370">
        <v>1300</v>
      </c>
      <c t="s" s="7" r="C370">
        <v>1301</v>
      </c>
      <c s="8" r="D370"/>
      <c s="8" r="E370"/>
      <c t="str" s="9" r="F370">
        <f>HYPERLINK("http://instagram.com/phillybobb","@phillybobb")</f>
        <v>@phillybobb</v>
      </c>
      <c s="8" r="G370"/>
      <c s="8" r="H370"/>
      <c s="8" r="I370"/>
      <c s="8" r="J370"/>
      <c s="8" r="K370"/>
      <c s="8" r="L370"/>
      <c s="8" r="M370"/>
      <c s="8" r="N370"/>
      <c s="8" r="O370"/>
      <c s="8" r="P370"/>
      <c s="8" r="Q370"/>
      <c s="8" r="R370"/>
      <c s="8" r="S370"/>
      <c s="8" r="T370"/>
      <c s="8" r="U370"/>
      <c s="8" r="V370"/>
      <c s="8" r="W370"/>
      <c s="8" r="X370"/>
      <c s="8" r="Y370"/>
      <c s="8" r="Z370"/>
      <c s="8" r="AA370"/>
    </row>
    <row r="371">
      <c t="s" s="7" r="A371">
        <v>1302</v>
      </c>
      <c t="s" s="7" r="B371">
        <v>1303</v>
      </c>
      <c t="s" s="7" r="C371">
        <v>1304</v>
      </c>
      <c s="8" r="D371"/>
      <c s="8" r="E371"/>
      <c s="8" r="F371"/>
      <c s="8" r="G371"/>
      <c s="8" r="H371"/>
      <c s="8" r="I371"/>
      <c s="8" r="J371"/>
      <c s="8" r="K371"/>
      <c s="8" r="L371"/>
      <c s="8" r="M371"/>
      <c s="8" r="N371"/>
      <c s="8" r="O371"/>
      <c s="8" r="P371"/>
      <c s="8" r="Q371"/>
      <c s="8" r="R371"/>
      <c s="8" r="S371"/>
      <c s="8" r="T371"/>
      <c s="8" r="U371"/>
      <c s="8" r="V371"/>
      <c s="8" r="W371"/>
      <c s="8" r="X371"/>
      <c s="8" r="Y371"/>
      <c s="8" r="Z371"/>
      <c s="8" r="AA371"/>
    </row>
    <row r="372">
      <c t="s" s="7" r="A372">
        <v>1305</v>
      </c>
      <c t="s" s="7" r="B372">
        <v>1306</v>
      </c>
      <c t="s" s="7" r="C372">
        <v>1307</v>
      </c>
      <c t="s" s="7" r="D372">
        <v>1308</v>
      </c>
      <c s="8" r="E372"/>
      <c s="8" r="F372"/>
      <c t="s" s="7" r="G372">
        <v>1309</v>
      </c>
      <c s="8" r="H372"/>
      <c s="8" r="I372"/>
      <c s="8" r="J372"/>
      <c s="8" r="K372"/>
      <c s="8" r="L372"/>
      <c s="8" r="M372"/>
      <c s="8" r="N372"/>
      <c s="8" r="O372"/>
      <c s="8" r="P372"/>
      <c s="8" r="Q372"/>
      <c s="8" r="R372"/>
      <c s="8" r="S372"/>
      <c s="8" r="T372"/>
      <c s="8" r="U372"/>
      <c s="8" r="V372"/>
      <c s="8" r="W372"/>
      <c s="8" r="X372"/>
      <c s="8" r="Y372"/>
      <c s="8" r="Z372"/>
      <c s="8" r="AA372"/>
    </row>
    <row r="373">
      <c t="s" s="7" r="A373">
        <v>1310</v>
      </c>
      <c t="s" s="7" r="B373">
        <v>1311</v>
      </c>
      <c t="s" s="7" r="C373">
        <v>1312</v>
      </c>
      <c s="8" r="D373"/>
      <c s="8" r="E373"/>
      <c s="8" r="F373"/>
      <c s="8" r="G373"/>
      <c s="8" r="H373"/>
      <c s="8" r="I373"/>
      <c s="8" r="J373"/>
      <c s="8" r="K373"/>
      <c s="8" r="L373"/>
      <c s="8" r="M373"/>
      <c s="8" r="N373"/>
      <c s="8" r="O373"/>
      <c s="8" r="P373"/>
      <c s="8" r="Q373"/>
      <c s="8" r="R373"/>
      <c s="8" r="S373"/>
      <c s="8" r="T373"/>
      <c s="8" r="U373"/>
      <c s="8" r="V373"/>
      <c s="8" r="W373"/>
      <c s="8" r="X373"/>
      <c s="8" r="Y373"/>
      <c s="8" r="Z373"/>
      <c s="8" r="AA373"/>
    </row>
    <row r="374">
      <c t="s" s="7" r="A374">
        <v>1313</v>
      </c>
      <c t="s" s="7" r="B374">
        <v>1314</v>
      </c>
      <c t="s" s="7" r="C374">
        <v>1315</v>
      </c>
      <c s="8" r="D374"/>
      <c s="8" r="E374"/>
      <c s="8" r="F374"/>
      <c s="8" r="G374"/>
      <c s="8" r="H374"/>
      <c s="8" r="I374"/>
      <c s="8" r="J374"/>
      <c s="8" r="K374"/>
      <c s="8" r="L374"/>
      <c s="8" r="M374"/>
      <c s="8" r="N374"/>
      <c s="8" r="O374"/>
      <c s="8" r="P374"/>
      <c s="8" r="Q374"/>
      <c s="8" r="R374"/>
      <c s="8" r="S374"/>
      <c s="8" r="T374"/>
      <c s="8" r="U374"/>
      <c s="8" r="V374"/>
      <c s="8" r="W374"/>
      <c s="8" r="X374"/>
      <c s="8" r="Y374"/>
      <c s="8" r="Z374"/>
      <c s="8" r="AA374"/>
    </row>
    <row r="375">
      <c t="s" s="7" r="A375">
        <v>1316</v>
      </c>
      <c t="s" s="7" r="B375">
        <v>1317</v>
      </c>
      <c t="s" s="7" r="C375">
        <v>1318</v>
      </c>
      <c s="8" r="D375"/>
      <c s="8" r="E375"/>
      <c s="8" r="F375"/>
      <c s="8" r="G375"/>
      <c s="8" r="H375"/>
      <c s="8" r="I375"/>
      <c s="8" r="J375"/>
      <c s="8" r="K375"/>
      <c s="8" r="L375"/>
      <c s="8" r="M375"/>
      <c s="8" r="N375"/>
      <c s="8" r="O375"/>
      <c s="8" r="P375"/>
      <c s="8" r="Q375"/>
      <c s="8" r="R375"/>
      <c s="8" r="S375"/>
      <c s="8" r="T375"/>
      <c s="8" r="U375"/>
      <c s="8" r="V375"/>
      <c s="8" r="W375"/>
      <c s="8" r="X375"/>
      <c s="8" r="Y375"/>
      <c s="8" r="Z375"/>
      <c s="8" r="AA375"/>
    </row>
    <row r="376">
      <c t="s" s="7" r="A376">
        <v>1319</v>
      </c>
      <c t="s" s="7" r="B376">
        <v>1320</v>
      </c>
      <c t="s" s="7" r="C376">
        <v>1321</v>
      </c>
      <c s="8" r="D376"/>
      <c s="8" r="E376"/>
      <c s="8" r="F376"/>
      <c s="8" r="G376"/>
      <c s="8" r="H376"/>
      <c s="8" r="I376"/>
      <c s="8" r="J376"/>
      <c s="8" r="K376"/>
      <c s="8" r="L376"/>
      <c s="8" r="M376"/>
      <c s="8" r="N376"/>
      <c s="8" r="O376"/>
      <c s="8" r="P376"/>
      <c s="8" r="Q376"/>
      <c s="8" r="R376"/>
      <c s="8" r="S376"/>
      <c s="8" r="T376"/>
      <c s="8" r="U376"/>
      <c s="8" r="V376"/>
      <c s="8" r="W376"/>
      <c s="8" r="X376"/>
      <c s="8" r="Y376"/>
      <c s="8" r="Z376"/>
      <c s="8" r="AA376"/>
    </row>
    <row r="377">
      <c t="s" s="7" r="A377">
        <v>1322</v>
      </c>
      <c t="s" s="7" r="B377">
        <v>1323</v>
      </c>
      <c t="s" s="7" r="C377">
        <v>1324</v>
      </c>
      <c s="8" r="D377"/>
      <c s="8" r="E377"/>
      <c s="8" r="F377"/>
      <c s="8" r="G377"/>
      <c s="8" r="H377"/>
      <c s="8" r="I377"/>
      <c s="8" r="J377"/>
      <c s="8" r="K377"/>
      <c s="8" r="L377"/>
      <c s="8" r="M377"/>
      <c s="8" r="N377"/>
      <c s="8" r="O377"/>
      <c s="8" r="P377"/>
      <c s="8" r="Q377"/>
      <c s="8" r="R377"/>
      <c s="8" r="S377"/>
      <c s="8" r="T377"/>
      <c s="8" r="U377"/>
      <c s="8" r="V377"/>
      <c s="8" r="W377"/>
      <c s="8" r="X377"/>
      <c s="8" r="Y377"/>
      <c s="8" r="Z377"/>
      <c s="8" r="AA377"/>
    </row>
    <row r="378">
      <c t="s" s="7" r="A378">
        <v>1325</v>
      </c>
      <c t="s" s="7" r="B378">
        <v>1326</v>
      </c>
      <c t="s" s="7" r="C378">
        <v>1327</v>
      </c>
      <c t="s" s="7" r="D378">
        <v>1328</v>
      </c>
      <c t="str" s="9" r="E378">
        <f>HYPERLINK("https://twitter.com/JasonFromSD","@JasonFromSD")</f>
        <v>@JasonFromSD</v>
      </c>
      <c t="str" s="9" r="F378">
        <f>HYPERLINK("http://instagram.com/jasonbehnke","@JasonBehnke")</f>
        <v>@JasonBehnke</v>
      </c>
      <c s="8" r="G378"/>
      <c s="8" r="H378"/>
      <c s="8" r="I378"/>
      <c s="8" r="J378"/>
      <c s="8" r="K378"/>
      <c s="8" r="L378"/>
      <c s="8" r="M378"/>
      <c s="8" r="N378"/>
      <c s="8" r="O378"/>
      <c s="8" r="P378"/>
      <c s="8" r="Q378"/>
      <c s="8" r="R378"/>
      <c s="8" r="S378"/>
      <c s="8" r="T378"/>
      <c s="8" r="U378"/>
      <c s="8" r="V378"/>
      <c s="8" r="W378"/>
      <c s="8" r="X378"/>
      <c s="8" r="Y378"/>
      <c s="8" r="Z378"/>
      <c s="8" r="AA378"/>
    </row>
    <row r="379">
      <c t="s" s="7" r="A379">
        <v>1329</v>
      </c>
      <c t="s" s="7" r="B379">
        <v>1330</v>
      </c>
      <c t="s" s="7" r="C379">
        <v>1331</v>
      </c>
      <c s="8" r="D379"/>
      <c s="8" r="E379"/>
      <c s="8" r="F379"/>
      <c s="8" r="G379"/>
      <c s="8" r="H379"/>
      <c s="8" r="I379"/>
      <c s="8" r="J379"/>
      <c s="8" r="K379"/>
      <c s="8" r="L379"/>
      <c s="8" r="M379"/>
      <c s="8" r="N379"/>
      <c s="8" r="O379"/>
      <c s="8" r="P379"/>
      <c s="8" r="Q379"/>
      <c s="8" r="R379"/>
      <c s="8" r="S379"/>
      <c s="8" r="T379"/>
      <c s="8" r="U379"/>
      <c s="8" r="V379"/>
      <c s="8" r="W379"/>
      <c s="8" r="X379"/>
      <c s="8" r="Y379"/>
      <c s="8" r="Z379"/>
      <c s="8" r="AA379"/>
    </row>
    <row r="380">
      <c t="s" s="7" r="A380">
        <v>1332</v>
      </c>
      <c t="s" s="7" r="B380">
        <v>1333</v>
      </c>
      <c t="s" s="7" r="C380">
        <v>1334</v>
      </c>
      <c s="8" r="D380"/>
      <c s="8" r="E380"/>
      <c s="8" r="F380"/>
      <c s="8" r="G380"/>
      <c s="8" r="H380"/>
      <c s="8" r="I380"/>
      <c s="8" r="J380"/>
      <c s="8" r="K380"/>
      <c s="8" r="L380"/>
      <c s="8" r="M380"/>
      <c s="8" r="N380"/>
      <c s="8" r="O380"/>
      <c s="8" r="P380"/>
      <c s="8" r="Q380"/>
      <c s="8" r="R380"/>
      <c s="8" r="S380"/>
      <c s="8" r="T380"/>
      <c s="8" r="U380"/>
      <c s="8" r="V380"/>
      <c s="8" r="W380"/>
      <c s="8" r="X380"/>
      <c s="8" r="Y380"/>
      <c s="8" r="Z380"/>
      <c s="8" r="AA380"/>
    </row>
    <row r="381">
      <c t="s" s="7" r="A381">
        <v>1335</v>
      </c>
      <c t="s" s="7" r="B381">
        <v>1336</v>
      </c>
      <c t="s" s="7" r="C381">
        <v>1337</v>
      </c>
      <c t="s" s="7" r="D381">
        <v>1338</v>
      </c>
      <c t="str" s="9" r="E381">
        <f>HYPERLINK("https://twitter.com/wk_PoorBastard","@wk_PoorBastard")</f>
        <v>@wk_PoorBastard</v>
      </c>
      <c t="str" s="9" r="F381">
        <f>HYPERLINK("http://instagram.com/dub97gt","@dub97gt")</f>
        <v>@dub97gt</v>
      </c>
      <c t="s" s="7" r="G381">
        <v>1339</v>
      </c>
      <c s="8" r="H381"/>
      <c s="8" r="I381"/>
      <c s="8" r="J381"/>
      <c s="8" r="K381"/>
      <c s="8" r="L381"/>
      <c s="8" r="M381"/>
      <c s="8" r="N381"/>
      <c s="8" r="O381"/>
      <c s="8" r="P381"/>
      <c s="8" r="Q381"/>
      <c s="8" r="R381"/>
      <c s="8" r="S381"/>
      <c s="8" r="T381"/>
      <c s="8" r="U381"/>
      <c s="8" r="V381"/>
      <c s="8" r="W381"/>
      <c s="8" r="X381"/>
      <c s="8" r="Y381"/>
      <c s="8" r="Z381"/>
      <c s="8" r="AA381"/>
    </row>
    <row r="382">
      <c t="s" s="7" r="A382">
        <v>1340</v>
      </c>
      <c t="s" s="7" r="B382">
        <v>1341</v>
      </c>
      <c t="s" s="7" r="C382">
        <v>1342</v>
      </c>
      <c s="8" r="D382"/>
      <c s="8" r="E382"/>
      <c s="8" r="F382"/>
      <c s="8" r="G382"/>
      <c s="8" r="H382"/>
      <c s="8" r="I382"/>
      <c s="8" r="J382"/>
      <c s="8" r="K382"/>
      <c s="8" r="L382"/>
      <c s="8" r="M382"/>
      <c s="8" r="N382"/>
      <c s="8" r="O382"/>
      <c s="8" r="P382"/>
      <c s="8" r="Q382"/>
      <c s="8" r="R382"/>
      <c s="8" r="S382"/>
      <c s="8" r="T382"/>
      <c s="8" r="U382"/>
      <c s="8" r="V382"/>
      <c s="8" r="W382"/>
      <c s="8" r="X382"/>
      <c s="8" r="Y382"/>
      <c s="8" r="Z382"/>
      <c s="8" r="AA382"/>
    </row>
    <row r="383">
      <c t="s" s="7" r="A383">
        <v>1343</v>
      </c>
      <c t="s" s="7" r="B383">
        <v>1344</v>
      </c>
      <c t="s" s="7" r="C383">
        <v>1345</v>
      </c>
      <c t="s" s="7" r="D383">
        <v>1346</v>
      </c>
      <c t="str" s="9" r="E383">
        <f>HYPERLINK("https://twitter.com/Walkerman75","@walkerman75")</f>
        <v>@walkerman75</v>
      </c>
      <c t="str" s="9" r="F383">
        <f>HYPERLINK("http://instagram.com/walkerman75","@walkerman75")</f>
        <v>@walkerman75</v>
      </c>
      <c t="s" s="7" r="G383">
        <v>1347</v>
      </c>
      <c s="8" r="H383"/>
      <c s="8" r="I383"/>
      <c s="8" r="J383"/>
      <c s="8" r="K383"/>
      <c s="8" r="L383"/>
      <c s="8" r="M383"/>
      <c s="8" r="N383"/>
      <c s="8" r="O383"/>
      <c s="8" r="P383"/>
      <c s="8" r="Q383"/>
      <c s="8" r="R383"/>
      <c s="8" r="S383"/>
      <c s="8" r="T383"/>
      <c s="8" r="U383"/>
      <c s="8" r="V383"/>
      <c s="8" r="W383"/>
      <c s="8" r="X383"/>
      <c s="8" r="Y383"/>
      <c s="8" r="Z383"/>
      <c s="8" r="AA383"/>
    </row>
    <row r="384">
      <c t="s" s="7" r="A384">
        <v>1348</v>
      </c>
      <c t="s" s="7" r="B384">
        <v>1349</v>
      </c>
      <c t="s" s="7" r="C384">
        <v>1350</v>
      </c>
      <c s="8" r="D384"/>
      <c s="8" r="E384"/>
      <c s="8" r="F384"/>
      <c s="8" r="G384"/>
      <c s="8" r="H384"/>
      <c s="8" r="I384"/>
      <c s="8" r="J384"/>
      <c s="8" r="K384"/>
      <c s="8" r="L384"/>
      <c s="8" r="M384"/>
      <c s="8" r="N384"/>
      <c s="8" r="O384"/>
      <c s="8" r="P384"/>
      <c s="8" r="Q384"/>
      <c s="8" r="R384"/>
      <c s="8" r="S384"/>
      <c s="8" r="T384"/>
      <c s="8" r="U384"/>
      <c s="8" r="V384"/>
      <c s="8" r="W384"/>
      <c s="8" r="X384"/>
      <c s="8" r="Y384"/>
      <c s="8" r="Z384"/>
      <c s="8" r="AA384"/>
    </row>
    <row r="385">
      <c t="s" s="7" r="A385">
        <v>1351</v>
      </c>
      <c t="s" s="7" r="B385">
        <v>1352</v>
      </c>
      <c t="s" s="7" r="C385">
        <v>1353</v>
      </c>
      <c s="8" r="D385"/>
      <c s="8" r="E385"/>
      <c s="8" r="F385"/>
      <c s="8" r="G385"/>
      <c s="8" r="H385"/>
      <c s="8" r="I385"/>
      <c s="8" r="J385"/>
      <c s="8" r="K385"/>
      <c s="8" r="L385"/>
      <c s="8" r="M385"/>
      <c s="8" r="N385"/>
      <c s="8" r="O385"/>
      <c s="8" r="P385"/>
      <c s="8" r="Q385"/>
      <c s="8" r="R385"/>
      <c s="8" r="S385"/>
      <c s="8" r="T385"/>
      <c s="8" r="U385"/>
      <c s="8" r="V385"/>
      <c s="8" r="W385"/>
      <c s="8" r="X385"/>
      <c s="8" r="Y385"/>
      <c s="8" r="Z385"/>
      <c s="8" r="AA385"/>
    </row>
    <row r="386">
      <c t="s" s="7" r="A386">
        <v>1354</v>
      </c>
      <c t="s" s="7" r="B386">
        <v>1355</v>
      </c>
      <c t="s" s="7" r="C386">
        <v>1356</v>
      </c>
      <c s="8" r="D386"/>
      <c s="8" r="E386"/>
      <c s="8" r="F386"/>
      <c s="8" r="G386"/>
      <c s="8" r="H386"/>
      <c s="8" r="I386"/>
      <c s="8" r="J386"/>
      <c s="8" r="K386"/>
      <c s="8" r="L386"/>
      <c s="8" r="M386"/>
      <c s="8" r="N386"/>
      <c s="8" r="O386"/>
      <c s="8" r="P386"/>
      <c s="8" r="Q386"/>
      <c s="8" r="R386"/>
      <c s="8" r="S386"/>
      <c s="8" r="T386"/>
      <c s="8" r="U386"/>
      <c s="8" r="V386"/>
      <c s="8" r="W386"/>
      <c s="8" r="X386"/>
      <c s="8" r="Y386"/>
      <c s="8" r="Z386"/>
      <c s="8" r="AA386"/>
    </row>
    <row r="387">
      <c t="s" s="7" r="A387">
        <v>1357</v>
      </c>
      <c t="s" s="7" r="B387">
        <v>1358</v>
      </c>
      <c t="s" s="7" r="C387">
        <v>1359</v>
      </c>
      <c s="8" r="D387"/>
      <c s="8" r="E387"/>
      <c s="8" r="F387"/>
      <c s="8" r="G387"/>
      <c s="8" r="H387"/>
      <c s="8" r="I387"/>
      <c s="8" r="J387"/>
      <c s="8" r="K387"/>
      <c s="8" r="L387"/>
      <c s="8" r="M387"/>
      <c s="8" r="N387"/>
      <c s="8" r="O387"/>
      <c s="8" r="P387"/>
      <c s="8" r="Q387"/>
      <c s="8" r="R387"/>
      <c s="8" r="S387"/>
      <c s="8" r="T387"/>
      <c s="8" r="U387"/>
      <c s="8" r="V387"/>
      <c s="8" r="W387"/>
      <c s="8" r="X387"/>
      <c s="8" r="Y387"/>
      <c s="8" r="Z387"/>
      <c s="8" r="AA387"/>
    </row>
    <row r="388">
      <c t="s" s="7" r="A388">
        <v>1360</v>
      </c>
      <c t="s" s="7" r="B388">
        <v>1361</v>
      </c>
      <c t="s" s="7" r="C388">
        <v>1362</v>
      </c>
      <c s="8" r="D388"/>
      <c s="8" r="E388"/>
      <c s="8" r="F388"/>
      <c s="8" r="G388"/>
      <c s="8" r="H388"/>
      <c s="8" r="I388"/>
      <c s="8" r="J388"/>
      <c s="8" r="K388"/>
      <c s="8" r="L388"/>
      <c s="8" r="M388"/>
      <c s="8" r="N388"/>
      <c s="8" r="O388"/>
      <c s="8" r="P388"/>
      <c s="8" r="Q388"/>
      <c s="8" r="R388"/>
      <c s="8" r="S388"/>
      <c s="8" r="T388"/>
      <c s="8" r="U388"/>
      <c s="8" r="V388"/>
      <c s="8" r="W388"/>
      <c s="8" r="X388"/>
      <c s="8" r="Y388"/>
      <c s="8" r="Z388"/>
      <c s="8" r="AA388"/>
    </row>
    <row r="389">
      <c t="s" s="7" r="A389">
        <v>1363</v>
      </c>
      <c t="s" s="7" r="B389">
        <v>1364</v>
      </c>
      <c t="s" s="7" r="C389">
        <v>1365</v>
      </c>
      <c t="s" s="7" r="D389">
        <v>1366</v>
      </c>
      <c s="8" r="E389"/>
      <c t="str" s="9" r="F389">
        <f>HYPERLINK("http://instagram.com/presidentdeath","@presidentdeath")</f>
        <v>@presidentdeath</v>
      </c>
      <c s="8" r="G389"/>
      <c s="8" r="H389"/>
      <c s="8" r="I389"/>
      <c s="8" r="J389"/>
      <c s="8" r="K389"/>
      <c s="8" r="L389"/>
      <c s="8" r="M389"/>
      <c s="8" r="N389"/>
      <c s="8" r="O389"/>
      <c s="8" r="P389"/>
      <c s="8" r="Q389"/>
      <c s="8" r="R389"/>
      <c s="8" r="S389"/>
      <c s="8" r="T389"/>
      <c s="8" r="U389"/>
      <c s="8" r="V389"/>
      <c s="8" r="W389"/>
      <c s="8" r="X389"/>
      <c s="8" r="Y389"/>
      <c s="8" r="Z389"/>
      <c s="8" r="AA389"/>
    </row>
    <row r="390">
      <c t="s" s="7" r="A390">
        <v>1367</v>
      </c>
      <c t="s" s="7" r="B390">
        <v>1368</v>
      </c>
      <c t="s" s="7" r="C390">
        <v>1369</v>
      </c>
      <c s="8" r="D390"/>
      <c s="8" r="E390"/>
      <c s="8" r="F390"/>
      <c s="8" r="G390"/>
      <c s="8" r="H390"/>
      <c s="8" r="I390"/>
      <c s="8" r="J390"/>
      <c s="8" r="K390"/>
      <c s="8" r="L390"/>
      <c s="8" r="M390"/>
      <c s="8" r="N390"/>
      <c s="8" r="O390"/>
      <c s="8" r="P390"/>
      <c s="8" r="Q390"/>
      <c s="8" r="R390"/>
      <c s="8" r="S390"/>
      <c s="8" r="T390"/>
      <c s="8" r="U390"/>
      <c s="8" r="V390"/>
      <c s="8" r="W390"/>
      <c s="8" r="X390"/>
      <c s="8" r="Y390"/>
      <c s="8" r="Z390"/>
      <c s="8" r="AA390"/>
    </row>
    <row r="391">
      <c t="s" s="7" r="A391">
        <v>1370</v>
      </c>
      <c t="s" s="7" r="B391">
        <v>1371</v>
      </c>
      <c t="s" s="7" r="C391">
        <v>1372</v>
      </c>
      <c s="8" r="D391"/>
      <c s="8" r="E391"/>
      <c s="8" r="F391"/>
      <c s="8" r="G391"/>
      <c s="8" r="H391"/>
      <c s="8" r="I391"/>
      <c s="8" r="J391"/>
      <c s="8" r="K391"/>
      <c s="8" r="L391"/>
      <c s="8" r="M391"/>
      <c s="8" r="N391"/>
      <c s="8" r="O391"/>
      <c s="8" r="P391"/>
      <c s="8" r="Q391"/>
      <c s="8" r="R391"/>
      <c s="8" r="S391"/>
      <c s="8" r="T391"/>
      <c s="8" r="U391"/>
      <c s="8" r="V391"/>
      <c s="8" r="W391"/>
      <c s="8" r="X391"/>
      <c s="8" r="Y391"/>
      <c s="8" r="Z391"/>
      <c s="8" r="AA391"/>
    </row>
    <row r="392">
      <c t="s" s="7" r="A392">
        <v>1373</v>
      </c>
      <c t="s" s="7" r="B392">
        <v>1374</v>
      </c>
      <c t="s" s="7" r="C392">
        <v>1375</v>
      </c>
      <c s="8" r="D392"/>
      <c s="8" r="E392"/>
      <c s="8" r="F392"/>
      <c s="8" r="G392"/>
      <c s="8" r="H392"/>
      <c s="8" r="I392"/>
      <c s="8" r="J392"/>
      <c s="8" r="K392"/>
      <c s="8" r="L392"/>
      <c s="8" r="M392"/>
      <c s="8" r="N392"/>
      <c s="8" r="O392"/>
      <c s="8" r="P392"/>
      <c s="8" r="Q392"/>
      <c s="8" r="R392"/>
      <c s="8" r="S392"/>
      <c s="8" r="T392"/>
      <c s="8" r="U392"/>
      <c s="8" r="V392"/>
      <c s="8" r="W392"/>
      <c s="8" r="X392"/>
      <c s="8" r="Y392"/>
      <c s="8" r="Z392"/>
      <c s="8" r="AA392"/>
    </row>
    <row r="393">
      <c t="s" s="7" r="A393">
        <v>1376</v>
      </c>
      <c t="s" s="7" r="B393">
        <v>1377</v>
      </c>
      <c t="s" s="7" r="C393">
        <v>1378</v>
      </c>
      <c t="s" s="7" r="D393">
        <v>1379</v>
      </c>
      <c s="8" r="E393"/>
      <c s="8" r="F393"/>
      <c s="8" r="G393"/>
      <c s="8" r="H393"/>
      <c s="8" r="I393"/>
      <c s="8" r="J393"/>
      <c s="8" r="K393"/>
      <c s="8" r="L393"/>
      <c s="8" r="M393"/>
      <c s="8" r="N393"/>
      <c s="8" r="O393"/>
      <c s="8" r="P393"/>
      <c s="8" r="Q393"/>
      <c s="8" r="R393"/>
      <c s="8" r="S393"/>
      <c s="8" r="T393"/>
      <c s="8" r="U393"/>
      <c s="8" r="V393"/>
      <c s="8" r="W393"/>
      <c s="8" r="X393"/>
      <c s="8" r="Y393"/>
      <c s="8" r="Z393"/>
      <c s="8" r="AA393"/>
    </row>
    <row r="394">
      <c t="s" s="7" r="A394">
        <v>1380</v>
      </c>
      <c t="s" s="7" r="B394">
        <v>1381</v>
      </c>
      <c t="s" s="7" r="C394">
        <v>1382</v>
      </c>
      <c s="8" r="D394"/>
      <c s="8" r="E394"/>
      <c s="8" r="F394"/>
      <c s="8" r="G394"/>
      <c s="8" r="H394"/>
      <c s="8" r="I394"/>
      <c s="8" r="J394"/>
      <c s="8" r="K394"/>
      <c s="8" r="L394"/>
      <c s="8" r="M394"/>
      <c s="8" r="N394"/>
      <c s="8" r="O394"/>
      <c s="8" r="P394"/>
      <c s="8" r="Q394"/>
      <c s="8" r="R394"/>
      <c s="8" r="S394"/>
      <c s="8" r="T394"/>
      <c s="8" r="U394"/>
      <c s="8" r="V394"/>
      <c s="8" r="W394"/>
      <c s="8" r="X394"/>
      <c s="8" r="Y394"/>
      <c s="8" r="Z394"/>
      <c s="8" r="AA394"/>
    </row>
    <row r="395">
      <c t="s" s="7" r="A395">
        <v>1383</v>
      </c>
      <c t="s" s="7" r="B395">
        <v>1384</v>
      </c>
      <c t="s" s="7" r="C395">
        <v>1385</v>
      </c>
      <c s="8" r="D395"/>
      <c s="8" r="E395"/>
      <c s="8" r="F395"/>
      <c s="8" r="G395"/>
      <c s="8" r="H395"/>
      <c s="8" r="I395"/>
      <c s="8" r="J395"/>
      <c s="8" r="K395"/>
      <c s="8" r="L395"/>
      <c s="8" r="M395"/>
      <c s="8" r="N395"/>
      <c s="8" r="O395"/>
      <c s="8" r="P395"/>
      <c s="8" r="Q395"/>
      <c s="8" r="R395"/>
      <c s="8" r="S395"/>
      <c s="8" r="T395"/>
      <c s="8" r="U395"/>
      <c s="8" r="V395"/>
      <c s="8" r="W395"/>
      <c s="8" r="X395"/>
      <c s="8" r="Y395"/>
      <c s="8" r="Z395"/>
      <c s="8" r="AA395"/>
    </row>
    <row r="396">
      <c t="s" s="7" r="A396">
        <v>1386</v>
      </c>
      <c t="s" s="7" r="B396">
        <v>1387</v>
      </c>
      <c t="s" s="7" r="C396">
        <v>1388</v>
      </c>
      <c s="8" r="D396"/>
      <c s="8" r="E396"/>
      <c s="8" r="F396"/>
      <c s="8" r="G396"/>
      <c s="8" r="H396"/>
      <c s="8" r="I396"/>
      <c s="8" r="J396"/>
      <c s="8" r="K396"/>
      <c s="8" r="L396"/>
      <c s="8" r="M396"/>
      <c s="8" r="N396"/>
      <c s="8" r="O396"/>
      <c s="8" r="P396"/>
      <c s="8" r="Q396"/>
      <c s="8" r="R396"/>
      <c s="8" r="S396"/>
      <c s="8" r="T396"/>
      <c s="8" r="U396"/>
      <c s="8" r="V396"/>
      <c s="8" r="W396"/>
      <c s="8" r="X396"/>
      <c s="8" r="Y396"/>
      <c s="8" r="Z396"/>
      <c s="8" r="AA396"/>
    </row>
    <row r="397">
      <c t="s" s="7" r="A397">
        <v>1389</v>
      </c>
      <c t="s" s="7" r="B397">
        <v>1390</v>
      </c>
      <c t="s" s="7" r="C397">
        <v>1391</v>
      </c>
      <c s="8" r="D397"/>
      <c s="8" r="E397"/>
      <c s="8" r="F397"/>
      <c s="8" r="G397"/>
      <c s="8" r="H397"/>
      <c s="8" r="I397"/>
      <c s="8" r="J397"/>
      <c s="8" r="K397"/>
      <c s="8" r="L397"/>
      <c s="8" r="M397"/>
      <c s="8" r="N397"/>
      <c s="8" r="O397"/>
      <c s="8" r="P397"/>
      <c s="8" r="Q397"/>
      <c s="8" r="R397"/>
      <c s="8" r="S397"/>
      <c s="8" r="T397"/>
      <c s="8" r="U397"/>
      <c s="8" r="V397"/>
      <c s="8" r="W397"/>
      <c s="8" r="X397"/>
      <c s="8" r="Y397"/>
      <c s="8" r="Z397"/>
      <c s="8" r="AA397"/>
    </row>
    <row r="398">
      <c t="s" s="7" r="A398">
        <v>1392</v>
      </c>
      <c t="s" s="7" r="B398">
        <v>1393</v>
      </c>
      <c t="s" s="7" r="C398">
        <v>1394</v>
      </c>
      <c t="s" s="7" r="D398">
        <v>1395</v>
      </c>
      <c t="str" s="9" r="E398">
        <f>HYPERLINK("https://twitter.com/curbjobjason","@curbjobjason")</f>
        <v>@curbjobjason</v>
      </c>
      <c s="10" r="F398"/>
      <c s="8" r="G398"/>
      <c s="8" r="H398"/>
      <c s="8" r="I398"/>
      <c s="8" r="J398"/>
      <c s="8" r="K398"/>
      <c s="8" r="L398"/>
      <c s="8" r="M398"/>
      <c s="8" r="N398"/>
      <c s="8" r="O398"/>
      <c s="8" r="P398"/>
      <c s="8" r="Q398"/>
      <c s="8" r="R398"/>
      <c s="8" r="S398"/>
      <c s="8" r="T398"/>
      <c s="8" r="U398"/>
      <c s="8" r="V398"/>
      <c s="8" r="W398"/>
      <c s="8" r="X398"/>
      <c s="8" r="Y398"/>
      <c s="8" r="Z398"/>
      <c s="8" r="AA398"/>
    </row>
    <row r="399">
      <c t="s" s="7" r="A399">
        <v>1396</v>
      </c>
      <c t="s" s="7" r="B399">
        <v>1397</v>
      </c>
      <c t="s" s="7" r="C399">
        <v>1398</v>
      </c>
      <c s="8" r="D399"/>
      <c s="8" r="E399"/>
      <c s="8" r="F399"/>
      <c s="8" r="G399"/>
      <c s="8" r="H399"/>
      <c s="8" r="I399"/>
      <c s="8" r="J399"/>
      <c s="8" r="K399"/>
      <c s="8" r="L399"/>
      <c s="8" r="M399"/>
      <c s="8" r="N399"/>
      <c s="8" r="O399"/>
      <c s="8" r="P399"/>
      <c s="8" r="Q399"/>
      <c s="8" r="R399"/>
      <c s="8" r="S399"/>
      <c s="8" r="T399"/>
      <c s="8" r="U399"/>
      <c s="8" r="V399"/>
      <c s="8" r="W399"/>
      <c s="8" r="X399"/>
      <c s="8" r="Y399"/>
      <c s="8" r="Z399"/>
      <c s="8" r="AA399"/>
    </row>
    <row r="400">
      <c t="s" s="7" r="A400">
        <v>1399</v>
      </c>
      <c t="s" s="7" r="B400">
        <v>1400</v>
      </c>
      <c t="s" s="7" r="C400">
        <v>1401</v>
      </c>
      <c s="8" r="D400"/>
      <c s="8" r="E400"/>
      <c s="8" r="F400"/>
      <c s="8" r="G400"/>
      <c s="8" r="H400"/>
      <c s="8" r="I400"/>
      <c s="8" r="J400"/>
      <c s="8" r="K400"/>
      <c s="8" r="L400"/>
      <c s="8" r="M400"/>
      <c s="8" r="N400"/>
      <c s="8" r="O400"/>
      <c s="8" r="P400"/>
      <c s="8" r="Q400"/>
      <c s="8" r="R400"/>
      <c s="8" r="S400"/>
      <c s="8" r="T400"/>
      <c s="8" r="U400"/>
      <c s="8" r="V400"/>
      <c s="8" r="W400"/>
      <c s="8" r="X400"/>
      <c s="8" r="Y400"/>
      <c s="8" r="Z400"/>
      <c s="8" r="AA400"/>
    </row>
    <row r="401">
      <c t="s" s="7" r="A401">
        <v>1402</v>
      </c>
      <c t="s" s="7" r="B401">
        <v>1403</v>
      </c>
      <c t="s" s="7" r="C401">
        <v>1404</v>
      </c>
      <c t="s" s="7" r="D401">
        <v>1405</v>
      </c>
      <c t="str" s="9" r="E401">
        <f>HYPERLINK("https://twitter.com/snakel87","@snakel87")</f>
        <v>@snakel87</v>
      </c>
      <c t="str" s="9" r="F401">
        <f>HYPERLINK("http://instagram.com/snakel87","@snakel87")</f>
        <v>@snakel87</v>
      </c>
      <c s="8" r="G401"/>
      <c s="8" r="H401"/>
      <c s="8" r="I401"/>
      <c s="8" r="J401"/>
      <c s="8" r="K401"/>
      <c s="8" r="L401"/>
      <c s="8" r="M401"/>
      <c s="8" r="N401"/>
      <c s="8" r="O401"/>
      <c s="8" r="P401"/>
      <c s="8" r="Q401"/>
      <c s="8" r="R401"/>
      <c s="8" r="S401"/>
      <c s="8" r="T401"/>
      <c s="8" r="U401"/>
      <c s="8" r="V401"/>
      <c s="8" r="W401"/>
      <c s="8" r="X401"/>
      <c s="8" r="Y401"/>
      <c s="8" r="Z401"/>
      <c s="8" r="AA401"/>
    </row>
    <row r="402">
      <c t="s" s="7" r="A402">
        <v>1406</v>
      </c>
      <c t="s" s="7" r="B402">
        <v>1407</v>
      </c>
      <c t="s" s="7" r="C402">
        <v>1408</v>
      </c>
      <c s="8" r="D402"/>
      <c s="8" r="E402"/>
      <c s="8" r="F402"/>
      <c s="8" r="G402"/>
      <c s="8" r="H402"/>
      <c s="8" r="I402"/>
      <c s="8" r="J402"/>
      <c s="8" r="K402"/>
      <c s="8" r="L402"/>
      <c s="8" r="M402"/>
      <c s="8" r="N402"/>
      <c s="8" r="O402"/>
      <c s="8" r="P402"/>
      <c s="8" r="Q402"/>
      <c s="8" r="R402"/>
      <c s="8" r="S402"/>
      <c s="8" r="T402"/>
      <c s="8" r="U402"/>
      <c s="8" r="V402"/>
      <c s="8" r="W402"/>
      <c s="8" r="X402"/>
      <c s="8" r="Y402"/>
      <c s="8" r="Z402"/>
      <c s="8" r="AA402"/>
    </row>
    <row r="403">
      <c t="s" s="7" r="A403">
        <v>1409</v>
      </c>
      <c t="s" s="7" r="B403">
        <v>1410</v>
      </c>
      <c t="s" s="7" r="C403">
        <v>1411</v>
      </c>
      <c t="s" s="7" r="D403">
        <v>1412</v>
      </c>
      <c t="str" s="9" r="E403">
        <f>HYPERLINK("https://twitter.com/jaymzmurphy","@jaymzmurphy")</f>
        <v>@jaymzmurphy</v>
      </c>
      <c s="8" r="F403"/>
      <c s="8" r="G403"/>
      <c t="s" s="7" r="H403">
        <v>1413</v>
      </c>
      <c s="8" r="I403"/>
      <c s="8" r="J403"/>
      <c s="8" r="K403"/>
      <c s="8" r="L403"/>
      <c s="8" r="M403"/>
      <c s="8" r="N403"/>
      <c s="8" r="O403"/>
      <c s="8" r="P403"/>
      <c s="8" r="Q403"/>
      <c s="8" r="R403"/>
      <c s="8" r="S403"/>
      <c s="8" r="T403"/>
      <c s="8" r="U403"/>
      <c s="8" r="V403"/>
      <c s="8" r="W403"/>
      <c s="8" r="X403"/>
      <c s="8" r="Y403"/>
      <c s="8" r="Z403"/>
      <c s="8" r="AA403"/>
    </row>
    <row r="404">
      <c t="s" s="7" r="A404">
        <v>1414</v>
      </c>
      <c t="s" s="7" r="B404">
        <v>1415</v>
      </c>
      <c t="s" s="7" r="C404">
        <v>1416</v>
      </c>
      <c s="8" r="D404"/>
      <c s="8" r="E404"/>
      <c s="8" r="F404"/>
      <c s="8" r="G404"/>
      <c s="8" r="H404"/>
      <c s="8" r="I404"/>
      <c s="8" r="J404"/>
      <c s="8" r="K404"/>
      <c s="8" r="L404"/>
      <c s="8" r="M404"/>
      <c s="8" r="N404"/>
      <c s="8" r="O404"/>
      <c s="8" r="P404"/>
      <c s="8" r="Q404"/>
      <c s="8" r="R404"/>
      <c s="8" r="S404"/>
      <c s="8" r="T404"/>
      <c s="8" r="U404"/>
      <c s="8" r="V404"/>
      <c s="8" r="W404"/>
      <c s="8" r="X404"/>
      <c s="8" r="Y404"/>
      <c s="8" r="Z404"/>
      <c s="8" r="AA404"/>
    </row>
    <row r="405">
      <c t="s" s="7" r="A405">
        <v>1417</v>
      </c>
      <c t="s" s="7" r="B405">
        <v>1418</v>
      </c>
      <c t="s" s="7" r="C405">
        <v>1419</v>
      </c>
      <c s="8" r="D405"/>
      <c s="8" r="E405"/>
      <c s="8" r="F405"/>
      <c s="8" r="G405"/>
      <c s="8" r="H405"/>
      <c s="8" r="I405"/>
      <c s="8" r="J405"/>
      <c s="8" r="K405"/>
      <c s="8" r="L405"/>
      <c s="8" r="M405"/>
      <c s="8" r="N405"/>
      <c s="8" r="O405"/>
      <c s="8" r="P405"/>
      <c s="8" r="Q405"/>
      <c s="8" r="R405"/>
      <c s="8" r="S405"/>
      <c s="8" r="T405"/>
      <c s="8" r="U405"/>
      <c s="8" r="V405"/>
      <c s="8" r="W405"/>
      <c s="8" r="X405"/>
      <c s="8" r="Y405"/>
      <c s="8" r="Z405"/>
      <c s="8" r="AA405"/>
    </row>
    <row r="406">
      <c t="s" s="7" r="A406">
        <v>1420</v>
      </c>
      <c t="s" s="7" r="B406">
        <v>1421</v>
      </c>
      <c t="s" s="7" r="C406">
        <v>1422</v>
      </c>
      <c s="8" r="D406"/>
      <c s="8" r="E406"/>
      <c s="8" r="F406"/>
      <c s="8" r="G406"/>
      <c s="8" r="H406"/>
      <c s="8" r="I406"/>
      <c s="8" r="J406"/>
      <c s="8" r="K406"/>
      <c s="8" r="L406"/>
      <c s="8" r="M406"/>
      <c s="8" r="N406"/>
      <c s="8" r="O406"/>
      <c s="8" r="P406"/>
      <c s="8" r="Q406"/>
      <c s="8" r="R406"/>
      <c s="8" r="S406"/>
      <c s="8" r="T406"/>
      <c s="8" r="U406"/>
      <c s="8" r="V406"/>
      <c s="8" r="W406"/>
      <c s="8" r="X406"/>
      <c s="8" r="Y406"/>
      <c s="8" r="Z406"/>
      <c s="8" r="AA406"/>
    </row>
    <row r="407">
      <c t="s" s="7" r="A407">
        <v>1423</v>
      </c>
      <c t="s" s="7" r="B407">
        <v>1424</v>
      </c>
      <c t="s" s="7" r="C407">
        <v>1425</v>
      </c>
      <c t="s" s="7" r="D407">
        <v>1426</v>
      </c>
      <c s="8" r="E407"/>
      <c s="8" r="F407"/>
      <c s="8" r="G407"/>
      <c s="8" r="H407"/>
      <c s="8" r="I407"/>
      <c s="8" r="J407"/>
      <c s="8" r="K407"/>
      <c s="8" r="L407"/>
      <c s="8" r="M407"/>
      <c s="8" r="N407"/>
      <c s="8" r="O407"/>
      <c s="8" r="P407"/>
      <c s="8" r="Q407"/>
      <c s="8" r="R407"/>
      <c s="8" r="S407"/>
      <c s="8" r="T407"/>
      <c s="8" r="U407"/>
      <c s="8" r="V407"/>
      <c s="8" r="W407"/>
      <c s="8" r="X407"/>
      <c s="8" r="Y407"/>
      <c s="8" r="Z407"/>
      <c s="8" r="AA407"/>
    </row>
    <row r="408">
      <c t="s" s="7" r="A408">
        <v>1427</v>
      </c>
      <c t="s" s="7" r="B408">
        <v>1428</v>
      </c>
      <c t="s" s="7" r="C408">
        <v>1429</v>
      </c>
      <c s="8" r="D408"/>
      <c s="8" r="E408"/>
      <c s="8" r="F408"/>
      <c s="8" r="G408"/>
      <c s="8" r="H408"/>
      <c s="8" r="I408"/>
      <c s="8" r="J408"/>
      <c s="8" r="K408"/>
      <c s="8" r="L408"/>
      <c s="8" r="M408"/>
      <c s="8" r="N408"/>
      <c s="8" r="O408"/>
      <c s="8" r="P408"/>
      <c s="8" r="Q408"/>
      <c s="8" r="R408"/>
      <c s="8" r="S408"/>
      <c s="8" r="T408"/>
      <c s="8" r="U408"/>
      <c s="8" r="V408"/>
      <c s="8" r="W408"/>
      <c s="8" r="X408"/>
      <c s="8" r="Y408"/>
      <c s="8" r="Z408"/>
      <c s="8" r="AA408"/>
    </row>
    <row r="409">
      <c t="s" s="7" r="A409">
        <v>1430</v>
      </c>
      <c t="s" s="7" r="B409">
        <v>1431</v>
      </c>
      <c t="s" s="7" r="C409">
        <v>1432</v>
      </c>
      <c s="8" r="D409"/>
      <c s="8" r="E409"/>
      <c s="8" r="F409"/>
      <c s="8" r="G409"/>
      <c s="8" r="H409"/>
      <c s="8" r="I409"/>
      <c s="8" r="J409"/>
      <c s="8" r="K409"/>
      <c s="8" r="L409"/>
      <c s="8" r="M409"/>
      <c s="8" r="N409"/>
      <c s="8" r="O409"/>
      <c s="8" r="P409"/>
      <c s="8" r="Q409"/>
      <c s="8" r="R409"/>
      <c s="8" r="S409"/>
      <c s="8" r="T409"/>
      <c s="8" r="U409"/>
      <c s="8" r="V409"/>
      <c s="8" r="W409"/>
      <c s="8" r="X409"/>
      <c s="8" r="Y409"/>
      <c s="8" r="Z409"/>
      <c s="8" r="AA409"/>
    </row>
    <row r="410">
      <c t="s" s="7" r="A410">
        <v>1433</v>
      </c>
      <c t="s" s="7" r="B410">
        <v>1434</v>
      </c>
      <c t="s" s="7" r="C410">
        <v>1435</v>
      </c>
      <c s="8" r="D410"/>
      <c s="8" r="E410"/>
      <c s="8" r="F410"/>
      <c s="8" r="G410"/>
      <c s="8" r="H410"/>
      <c s="8" r="I410"/>
      <c s="8" r="J410"/>
      <c s="8" r="K410"/>
      <c s="8" r="L410"/>
      <c s="8" r="M410"/>
      <c s="8" r="N410"/>
      <c s="8" r="O410"/>
      <c s="8" r="P410"/>
      <c s="8" r="Q410"/>
      <c s="8" r="R410"/>
      <c s="8" r="S410"/>
      <c s="8" r="T410"/>
      <c s="8" r="U410"/>
      <c s="8" r="V410"/>
      <c s="8" r="W410"/>
      <c s="8" r="X410"/>
      <c s="8" r="Y410"/>
      <c s="8" r="Z410"/>
      <c s="8" r="AA410"/>
    </row>
    <row r="411">
      <c t="s" s="7" r="A411">
        <v>1436</v>
      </c>
      <c t="s" s="7" r="B411">
        <v>1437</v>
      </c>
      <c t="s" s="7" r="C411">
        <v>1438</v>
      </c>
      <c s="8" r="D411"/>
      <c s="8" r="E411"/>
      <c s="8" r="F411"/>
      <c s="8" r="G411"/>
      <c s="8" r="H411"/>
      <c s="8" r="I411"/>
      <c s="8" r="J411"/>
      <c s="8" r="K411"/>
      <c s="8" r="L411"/>
      <c s="8" r="M411"/>
      <c s="8" r="N411"/>
      <c s="8" r="O411"/>
      <c s="8" r="P411"/>
      <c s="8" r="Q411"/>
      <c s="8" r="R411"/>
      <c s="8" r="S411"/>
      <c s="8" r="T411"/>
      <c s="8" r="U411"/>
      <c s="8" r="V411"/>
      <c s="8" r="W411"/>
      <c s="8" r="X411"/>
      <c s="8" r="Y411"/>
      <c s="8" r="Z411"/>
      <c s="8" r="AA411"/>
    </row>
    <row r="412">
      <c t="s" s="13" r="A412">
        <v>1439</v>
      </c>
      <c t="s" s="13" r="B412">
        <v>1440</v>
      </c>
      <c t="s" s="13" r="C412">
        <v>1441</v>
      </c>
      <c t="s" s="13" r="D412">
        <v>1442</v>
      </c>
      <c t="str" s="14" r="E412">
        <f>HYPERLINK("https://twitter.com/rainmanrds","@rainmanrds")</f>
        <v>@rainmanrds</v>
      </c>
      <c t="str" s="14" r="F412">
        <f>HYPERLINK("http://instagram.com/rainmanrds","@rainmanrds")</f>
        <v>@rainmanrds</v>
      </c>
      <c t="s" s="13" r="G412">
        <v>1443</v>
      </c>
      <c t="s" s="13" r="H412">
        <v>1444</v>
      </c>
      <c s="8" r="I412"/>
      <c s="8" r="J412"/>
      <c s="8" r="K412"/>
      <c s="8" r="L412"/>
      <c s="8" r="M412"/>
      <c s="8" r="N412"/>
      <c s="8" r="O412"/>
      <c s="8" r="P412"/>
      <c s="8" r="Q412"/>
      <c s="8" r="R412"/>
      <c s="8" r="S412"/>
      <c s="8" r="T412"/>
      <c s="8" r="U412"/>
      <c s="8" r="V412"/>
      <c s="8" r="W412"/>
      <c s="8" r="X412"/>
      <c s="8" r="Y412"/>
      <c s="8" r="Z412"/>
      <c s="8" r="AA412"/>
    </row>
    <row r="413">
      <c t="s" s="7" r="A413">
        <v>1445</v>
      </c>
      <c t="s" s="7" r="B413">
        <v>1446</v>
      </c>
      <c t="s" s="7" r="C413">
        <v>1447</v>
      </c>
      <c t="s" s="7" r="D413">
        <v>1448</v>
      </c>
      <c s="16" r="E413"/>
      <c t="str" s="9" r="F413">
        <f>HYPERLINK("http://instagram.com/sjkrupenny","@sjkrupenny")</f>
        <v>@sjkrupenny</v>
      </c>
      <c s="8" r="G413"/>
      <c s="7" r="H413"/>
      <c s="8" r="I413"/>
      <c s="8" r="J413"/>
      <c s="8" r="K413"/>
      <c s="8" r="L413"/>
      <c s="8" r="M413"/>
      <c s="8" r="N413"/>
      <c s="8" r="O413"/>
      <c s="8" r="P413"/>
      <c s="8" r="Q413"/>
      <c s="8" r="R413"/>
      <c s="8" r="S413"/>
      <c s="8" r="T413"/>
      <c s="8" r="U413"/>
      <c s="8" r="V413"/>
      <c s="8" r="W413"/>
      <c s="8" r="X413"/>
      <c s="8" r="Y413"/>
      <c s="8" r="Z413"/>
      <c s="8" r="AA413"/>
    </row>
    <row r="414">
      <c t="s" s="7" r="A414">
        <v>1449</v>
      </c>
      <c t="s" s="7" r="B414">
        <v>1450</v>
      </c>
      <c t="s" s="7" r="C414">
        <v>1451</v>
      </c>
      <c t="s" s="7" r="D414">
        <v>1452</v>
      </c>
      <c t="str" s="9" r="E414">
        <f>HYPERLINK("https://twitter.com/RadioTFB","@RadioTFB")</f>
        <v>@RadioTFB</v>
      </c>
      <c t="str" s="9" r="F414">
        <f>HYPERLINK("http://instagram.com/radiotfb","@RadioTFB")</f>
        <v>@RadioTFB</v>
      </c>
      <c s="8" r="G414"/>
      <c t="s" s="7" r="H414">
        <v>1453</v>
      </c>
      <c s="8" r="I414"/>
      <c s="8" r="J414"/>
      <c s="8" r="K414"/>
      <c s="8" r="L414"/>
      <c s="8" r="M414"/>
      <c s="8" r="N414"/>
      <c s="8" r="O414"/>
      <c s="8" r="P414"/>
      <c s="8" r="Q414"/>
      <c s="8" r="R414"/>
      <c s="8" r="S414"/>
      <c s="8" r="T414"/>
      <c s="8" r="U414"/>
      <c s="8" r="V414"/>
      <c s="8" r="W414"/>
      <c s="8" r="X414"/>
      <c s="8" r="Y414"/>
      <c s="8" r="Z414"/>
      <c s="8" r="AA414"/>
    </row>
    <row r="415">
      <c t="s" s="7" r="A415">
        <v>1454</v>
      </c>
      <c t="s" s="7" r="B415">
        <v>1455</v>
      </c>
      <c t="s" s="7" r="C415">
        <v>1456</v>
      </c>
      <c t="s" s="7" r="D415">
        <v>1457</v>
      </c>
      <c s="10" r="E415"/>
      <c t="str" s="9" r="F415">
        <f>HYPERLINK("http://instagram.com/aj_slagan","@AJ_Slagan")</f>
        <v>@AJ_Slagan</v>
      </c>
      <c t="s" s="7" r="G415">
        <v>1458</v>
      </c>
      <c s="8" r="H415"/>
      <c s="8" r="I415"/>
      <c s="8" r="J415"/>
      <c s="8" r="K415"/>
      <c s="8" r="L415"/>
      <c s="8" r="M415"/>
      <c s="8" r="N415"/>
      <c s="8" r="O415"/>
      <c s="8" r="P415"/>
      <c s="8" r="Q415"/>
      <c s="8" r="R415"/>
      <c s="8" r="S415"/>
      <c s="8" r="T415"/>
      <c s="8" r="U415"/>
      <c s="8" r="V415"/>
      <c s="8" r="W415"/>
      <c s="8" r="X415"/>
      <c s="8" r="Y415"/>
      <c s="8" r="Z415"/>
      <c s="8" r="AA415"/>
    </row>
    <row r="416">
      <c t="s" s="7" r="A416">
        <v>1459</v>
      </c>
      <c t="s" s="7" r="B416">
        <v>1460</v>
      </c>
      <c t="s" s="7" r="C416">
        <v>1461</v>
      </c>
      <c s="8" r="D416"/>
      <c s="8" r="E416"/>
      <c s="8" r="F416"/>
      <c s="8" r="G416"/>
      <c s="8" r="H416"/>
      <c s="8" r="I416"/>
      <c s="8" r="J416"/>
      <c s="8" r="K416"/>
      <c s="8" r="L416"/>
      <c s="8" r="M416"/>
      <c s="8" r="N416"/>
      <c s="8" r="O416"/>
      <c s="8" r="P416"/>
      <c s="8" r="Q416"/>
      <c s="8" r="R416"/>
      <c s="8" r="S416"/>
      <c s="8" r="T416"/>
      <c s="8" r="U416"/>
      <c s="8" r="V416"/>
      <c s="8" r="W416"/>
      <c s="8" r="X416"/>
      <c s="8" r="Y416"/>
      <c s="8" r="Z416"/>
      <c s="8" r="AA416"/>
    </row>
    <row r="417">
      <c t="s" s="7" r="A417">
        <v>1462</v>
      </c>
      <c t="s" s="7" r="B417">
        <v>1463</v>
      </c>
      <c t="s" s="7" r="C417">
        <v>1464</v>
      </c>
      <c s="8" r="D417"/>
      <c s="8" r="E417"/>
      <c s="8" r="F417"/>
      <c s="8" r="G417"/>
      <c s="8" r="H417"/>
      <c s="8" r="I417"/>
      <c s="8" r="J417"/>
      <c s="8" r="K417"/>
      <c s="8" r="L417"/>
      <c s="8" r="M417"/>
      <c s="8" r="N417"/>
      <c s="8" r="O417"/>
      <c s="8" r="P417"/>
      <c s="8" r="Q417"/>
      <c s="8" r="R417"/>
      <c s="8" r="S417"/>
      <c s="8" r="T417"/>
      <c s="8" r="U417"/>
      <c s="8" r="V417"/>
      <c s="8" r="W417"/>
      <c s="8" r="X417"/>
      <c s="8" r="Y417"/>
      <c s="8" r="Z417"/>
      <c s="8" r="AA417"/>
    </row>
    <row r="418">
      <c t="s" s="7" r="A418">
        <v>1465</v>
      </c>
      <c t="s" s="7" r="B418">
        <v>1466</v>
      </c>
      <c t="s" s="7" r="C418">
        <v>1467</v>
      </c>
      <c s="8" r="D418"/>
      <c s="8" r="E418"/>
      <c s="8" r="F418"/>
      <c s="8" r="G418"/>
      <c s="8" r="H418"/>
      <c s="8" r="I418"/>
      <c s="8" r="J418"/>
      <c s="8" r="K418"/>
      <c s="8" r="L418"/>
      <c s="8" r="M418"/>
      <c s="8" r="N418"/>
      <c s="8" r="O418"/>
      <c s="8" r="P418"/>
      <c s="8" r="Q418"/>
      <c s="8" r="R418"/>
      <c s="8" r="S418"/>
      <c s="8" r="T418"/>
      <c s="8" r="U418"/>
      <c s="8" r="V418"/>
      <c s="8" r="W418"/>
      <c s="8" r="X418"/>
      <c s="8" r="Y418"/>
      <c s="8" r="Z418"/>
      <c s="8" r="AA418"/>
    </row>
    <row r="419">
      <c t="s" s="7" r="A419">
        <v>1468</v>
      </c>
      <c t="s" s="7" r="B419">
        <v>1469</v>
      </c>
      <c t="s" s="7" r="C419">
        <v>1470</v>
      </c>
      <c t="s" s="7" r="D419">
        <v>1471</v>
      </c>
      <c s="10" r="E419"/>
      <c t="str" s="9" r="F419">
        <f>HYPERLINK("http://instagram.com/jordanstrange666/","@jordanstrange666")</f>
        <v>@jordanstrange666</v>
      </c>
      <c s="8" r="G419"/>
      <c s="8" r="H419"/>
      <c s="8" r="I419"/>
      <c s="8" r="J419"/>
      <c s="8" r="K419"/>
      <c s="8" r="L419"/>
      <c s="8" r="M419"/>
      <c s="8" r="N419"/>
      <c s="8" r="O419"/>
      <c s="8" r="P419"/>
      <c s="8" r="Q419"/>
      <c s="8" r="R419"/>
      <c s="8" r="S419"/>
      <c s="8" r="T419"/>
      <c s="8" r="U419"/>
      <c s="8" r="V419"/>
      <c s="8" r="W419"/>
      <c s="8" r="X419"/>
      <c s="8" r="Y419"/>
      <c s="8" r="Z419"/>
      <c s="8" r="AA419"/>
    </row>
    <row r="420">
      <c t="s" s="7" r="A420">
        <v>1472</v>
      </c>
      <c t="s" s="7" r="B420">
        <v>1473</v>
      </c>
      <c t="s" s="7" r="C420">
        <v>1474</v>
      </c>
      <c s="8" r="D420"/>
      <c s="8" r="E420"/>
      <c s="8" r="F420"/>
      <c s="8" r="G420"/>
      <c s="8" r="H420"/>
      <c s="8" r="I420"/>
      <c s="8" r="J420"/>
      <c s="8" r="K420"/>
      <c s="8" r="L420"/>
      <c s="8" r="M420"/>
      <c s="8" r="N420"/>
      <c s="8" r="O420"/>
      <c s="8" r="P420"/>
      <c s="8" r="Q420"/>
      <c s="8" r="R420"/>
      <c s="8" r="S420"/>
      <c s="8" r="T420"/>
      <c s="8" r="U420"/>
      <c s="8" r="V420"/>
      <c s="8" r="W420"/>
      <c s="8" r="X420"/>
      <c s="8" r="Y420"/>
      <c s="8" r="Z420"/>
      <c s="8" r="AA420"/>
    </row>
    <row r="421">
      <c t="s" s="7" r="A421">
        <v>1475</v>
      </c>
      <c t="s" s="7" r="B421">
        <v>1476</v>
      </c>
      <c t="s" s="7" r="C421">
        <v>1477</v>
      </c>
      <c s="8" r="D421"/>
      <c s="8" r="E421"/>
      <c s="8" r="F421"/>
      <c s="8" r="G421"/>
      <c s="8" r="H421"/>
      <c s="8" r="I421"/>
      <c s="8" r="J421"/>
      <c s="8" r="K421"/>
      <c s="8" r="L421"/>
      <c s="8" r="M421"/>
      <c s="8" r="N421"/>
      <c s="8" r="O421"/>
      <c s="8" r="P421"/>
      <c s="8" r="Q421"/>
      <c s="8" r="R421"/>
      <c s="8" r="S421"/>
      <c s="8" r="T421"/>
      <c s="8" r="U421"/>
      <c s="8" r="V421"/>
      <c s="8" r="W421"/>
      <c s="8" r="X421"/>
      <c s="8" r="Y421"/>
      <c s="8" r="Z421"/>
      <c s="8" r="AA421"/>
    </row>
    <row r="422">
      <c t="s" s="7" r="A422">
        <v>1478</v>
      </c>
      <c t="s" s="7" r="B422">
        <v>1479</v>
      </c>
      <c t="s" s="7" r="C422">
        <v>1480</v>
      </c>
      <c s="8" r="D422"/>
      <c s="8" r="E422"/>
      <c s="8" r="F422"/>
      <c s="8" r="G422"/>
      <c s="8" r="H422"/>
      <c s="8" r="I422"/>
      <c s="8" r="J422"/>
      <c s="8" r="K422"/>
      <c s="8" r="L422"/>
      <c s="8" r="M422"/>
      <c s="8" r="N422"/>
      <c s="8" r="O422"/>
      <c s="8" r="P422"/>
      <c s="8" r="Q422"/>
      <c s="8" r="R422"/>
      <c s="8" r="S422"/>
      <c s="8" r="T422"/>
      <c s="8" r="U422"/>
      <c s="8" r="V422"/>
      <c s="8" r="W422"/>
      <c s="8" r="X422"/>
      <c s="8" r="Y422"/>
      <c s="8" r="Z422"/>
      <c s="8" r="AA422"/>
    </row>
    <row r="423">
      <c t="s" s="7" r="A423">
        <v>1481</v>
      </c>
      <c t="s" s="7" r="B423">
        <v>1482</v>
      </c>
      <c t="s" s="7" r="C423">
        <v>1483</v>
      </c>
      <c s="8" r="D423"/>
      <c s="8" r="E423"/>
      <c s="8" r="F423"/>
      <c s="8" r="G423"/>
      <c s="8" r="H423"/>
      <c s="8" r="I423"/>
      <c s="8" r="J423"/>
      <c s="8" r="K423"/>
      <c s="8" r="L423"/>
      <c s="8" r="M423"/>
      <c s="8" r="N423"/>
      <c s="8" r="O423"/>
      <c s="8" r="P423"/>
      <c s="8" r="Q423"/>
      <c s="8" r="R423"/>
      <c s="8" r="S423"/>
      <c s="8" r="T423"/>
      <c s="8" r="U423"/>
      <c s="8" r="V423"/>
      <c s="8" r="W423"/>
      <c s="8" r="X423"/>
      <c s="8" r="Y423"/>
      <c s="8" r="Z423"/>
      <c s="8" r="AA423"/>
    </row>
    <row r="424">
      <c t="s" s="7" r="A424">
        <v>1484</v>
      </c>
      <c t="s" s="7" r="B424">
        <v>1485</v>
      </c>
      <c t="s" s="7" r="C424">
        <v>1486</v>
      </c>
      <c s="8" r="D424"/>
      <c s="8" r="E424"/>
      <c s="8" r="F424"/>
      <c s="8" r="G424"/>
      <c s="8" r="H424"/>
      <c s="8" r="I424"/>
      <c s="8" r="J424"/>
      <c s="8" r="K424"/>
      <c s="8" r="L424"/>
      <c s="8" r="M424"/>
      <c s="8" r="N424"/>
      <c s="8" r="O424"/>
      <c s="8" r="P424"/>
      <c s="8" r="Q424"/>
      <c s="8" r="R424"/>
      <c s="8" r="S424"/>
      <c s="8" r="T424"/>
      <c s="8" r="U424"/>
      <c s="8" r="V424"/>
      <c s="8" r="W424"/>
      <c s="8" r="X424"/>
      <c s="8" r="Y424"/>
      <c s="8" r="Z424"/>
      <c s="8" r="AA424"/>
    </row>
    <row r="425">
      <c t="s" s="7" r="A425">
        <v>1487</v>
      </c>
      <c t="s" s="7" r="B425">
        <v>1488</v>
      </c>
      <c t="s" s="7" r="C425">
        <v>1489</v>
      </c>
      <c t="s" s="7" r="D425">
        <v>1490</v>
      </c>
      <c s="8" r="E425"/>
      <c s="8" r="F425"/>
      <c s="8" r="G425"/>
      <c s="8" r="H425"/>
      <c s="8" r="I425"/>
      <c s="8" r="J425"/>
      <c s="8" r="K425"/>
      <c s="8" r="L425"/>
      <c s="8" r="M425"/>
      <c s="8" r="N425"/>
      <c s="8" r="O425"/>
      <c s="8" r="P425"/>
      <c s="8" r="Q425"/>
      <c s="8" r="R425"/>
      <c s="8" r="S425"/>
      <c s="8" r="T425"/>
      <c s="8" r="U425"/>
      <c s="8" r="V425"/>
      <c s="8" r="W425"/>
      <c s="8" r="X425"/>
      <c s="8" r="Y425"/>
      <c s="8" r="Z425"/>
      <c s="8" r="AA425"/>
    </row>
    <row r="426">
      <c t="s" s="7" r="A426">
        <v>1491</v>
      </c>
      <c t="s" s="7" r="B426">
        <v>1492</v>
      </c>
      <c t="s" s="7" r="C426">
        <v>1493</v>
      </c>
      <c s="8" r="D426"/>
      <c s="8" r="E426"/>
      <c s="8" r="F426"/>
      <c s="8" r="G426"/>
      <c s="8" r="H426"/>
      <c s="8" r="I426"/>
      <c s="8" r="J426"/>
      <c s="8" r="K426"/>
      <c s="8" r="L426"/>
      <c s="8" r="M426"/>
      <c s="8" r="N426"/>
      <c s="8" r="O426"/>
      <c s="8" r="P426"/>
      <c s="8" r="Q426"/>
      <c s="8" r="R426"/>
      <c s="8" r="S426"/>
      <c s="8" r="T426"/>
      <c s="8" r="U426"/>
      <c s="8" r="V426"/>
      <c s="8" r="W426"/>
      <c s="8" r="X426"/>
      <c s="8" r="Y426"/>
      <c s="8" r="Z426"/>
      <c s="8" r="AA426"/>
    </row>
    <row r="427">
      <c t="s" s="7" r="A427">
        <v>1494</v>
      </c>
      <c t="s" s="7" r="B427">
        <v>1495</v>
      </c>
      <c t="s" s="7" r="C427">
        <v>1496</v>
      </c>
      <c s="8" r="D427"/>
      <c s="8" r="E427"/>
      <c s="8" r="F427"/>
      <c s="8" r="G427"/>
      <c s="8" r="H427"/>
      <c s="8" r="I427"/>
      <c s="8" r="J427"/>
      <c s="8" r="K427"/>
      <c s="8" r="L427"/>
      <c s="8" r="M427"/>
      <c s="8" r="N427"/>
      <c s="8" r="O427"/>
      <c s="8" r="P427"/>
      <c s="8" r="Q427"/>
      <c s="8" r="R427"/>
      <c s="8" r="S427"/>
      <c s="8" r="T427"/>
      <c s="8" r="U427"/>
      <c s="8" r="V427"/>
      <c s="8" r="W427"/>
      <c s="8" r="X427"/>
      <c s="8" r="Y427"/>
      <c s="8" r="Z427"/>
      <c s="8" r="AA427"/>
    </row>
    <row r="428">
      <c t="s" s="7" r="A428">
        <v>1497</v>
      </c>
      <c t="s" s="7" r="B428">
        <v>1498</v>
      </c>
      <c t="s" s="7" r="C428">
        <v>1499</v>
      </c>
      <c t="s" s="7" r="D428">
        <v>1500</v>
      </c>
      <c t="str" s="9" r="E428">
        <f>HYPERLINK("https://twitter.com/Cainester","@Cainester")</f>
        <v>@Cainester</v>
      </c>
      <c t="str" s="9" r="F428">
        <f>HYPERLINK("http://instagram.com/cainester","@Cainester")</f>
        <v>@Cainester</v>
      </c>
      <c s="8" r="G428"/>
      <c s="8" r="H428"/>
      <c s="8" r="I428"/>
      <c s="8" r="J428"/>
      <c s="8" r="K428"/>
      <c s="8" r="L428"/>
      <c s="8" r="M428"/>
      <c s="8" r="N428"/>
      <c s="8" r="O428"/>
      <c s="8" r="P428"/>
      <c s="8" r="Q428"/>
      <c s="8" r="R428"/>
      <c s="8" r="S428"/>
      <c s="8" r="T428"/>
      <c s="8" r="U428"/>
      <c s="8" r="V428"/>
      <c s="8" r="W428"/>
      <c s="8" r="X428"/>
      <c s="8" r="Y428"/>
      <c s="8" r="Z428"/>
      <c s="8" r="AA428"/>
    </row>
    <row r="429">
      <c t="s" s="7" r="A429">
        <v>1501</v>
      </c>
      <c t="s" s="7" r="B429">
        <v>1502</v>
      </c>
      <c t="s" s="7" r="C429">
        <v>1503</v>
      </c>
      <c t="s" s="7" r="D429">
        <v>1504</v>
      </c>
      <c t="str" s="9" r="E429">
        <f>HYPERLINK("https://twitter.com/DrunkonBabies","@DrunkonBabies")</f>
        <v>@DrunkonBabies</v>
      </c>
      <c t="str" s="9" r="F429">
        <f>HYPERLINK("http://instagram.com/drunkonbabies","@DrunkonBabies")</f>
        <v>@DrunkonBabies</v>
      </c>
      <c t="s" s="7" r="G429">
        <v>1505</v>
      </c>
      <c s="8" r="H429"/>
      <c s="8" r="I429"/>
      <c s="8" r="J429"/>
      <c s="8" r="K429"/>
      <c s="8" r="L429"/>
      <c s="8" r="M429"/>
      <c s="8" r="N429"/>
      <c s="8" r="O429"/>
      <c s="8" r="P429"/>
      <c s="8" r="Q429"/>
      <c s="8" r="R429"/>
      <c s="8" r="S429"/>
      <c s="8" r="T429"/>
      <c s="8" r="U429"/>
      <c s="8" r="V429"/>
      <c s="8" r="W429"/>
      <c s="8" r="X429"/>
      <c s="8" r="Y429"/>
      <c s="8" r="Z429"/>
      <c s="8" r="AA429"/>
    </row>
    <row r="430">
      <c t="s" s="7" r="A430">
        <v>1506</v>
      </c>
      <c t="s" s="7" r="B430">
        <v>1507</v>
      </c>
      <c t="s" s="7" r="C430">
        <v>1508</v>
      </c>
      <c s="8" r="D430"/>
      <c s="8" r="E430"/>
      <c s="8" r="F430"/>
      <c s="8" r="G430"/>
      <c s="8" r="H430"/>
      <c s="8" r="I430"/>
      <c s="8" r="J430"/>
      <c s="8" r="K430"/>
      <c s="8" r="L430"/>
      <c s="8" r="M430"/>
      <c s="8" r="N430"/>
      <c s="8" r="O430"/>
      <c s="8" r="P430"/>
      <c s="8" r="Q430"/>
      <c s="8" r="R430"/>
      <c s="8" r="S430"/>
      <c s="8" r="T430"/>
      <c s="8" r="U430"/>
      <c s="8" r="V430"/>
      <c s="8" r="W430"/>
      <c s="8" r="X430"/>
      <c s="8" r="Y430"/>
      <c s="8" r="Z430"/>
      <c s="8" r="AA430"/>
    </row>
    <row r="431">
      <c t="s" s="7" r="A431">
        <v>1509</v>
      </c>
      <c t="s" s="7" r="B431">
        <v>1510</v>
      </c>
      <c t="s" s="7" r="C431">
        <v>1511</v>
      </c>
      <c s="8" r="D431"/>
      <c s="8" r="E431"/>
      <c s="8" r="F431"/>
      <c s="8" r="G431"/>
      <c s="8" r="H431"/>
      <c s="8" r="I431"/>
      <c s="8" r="J431"/>
      <c s="8" r="K431"/>
      <c s="8" r="L431"/>
      <c s="8" r="M431"/>
      <c s="8" r="N431"/>
      <c s="8" r="O431"/>
      <c s="8" r="P431"/>
      <c s="8" r="Q431"/>
      <c s="8" r="R431"/>
      <c s="8" r="S431"/>
      <c s="8" r="T431"/>
      <c s="8" r="U431"/>
      <c s="8" r="V431"/>
      <c s="8" r="W431"/>
      <c s="8" r="X431"/>
      <c s="8" r="Y431"/>
      <c s="8" r="Z431"/>
      <c s="8" r="AA431"/>
    </row>
    <row r="432">
      <c t="s" s="7" r="A432">
        <v>1512</v>
      </c>
      <c t="s" s="7" r="B432">
        <v>1513</v>
      </c>
      <c t="s" s="7" r="C432">
        <v>1514</v>
      </c>
      <c s="8" r="D432"/>
      <c s="8" r="E432"/>
      <c s="8" r="F432"/>
      <c s="8" r="G432"/>
      <c s="8" r="H432"/>
      <c s="8" r="I432"/>
      <c s="8" r="J432"/>
      <c s="8" r="K432"/>
      <c s="8" r="L432"/>
      <c s="8" r="M432"/>
      <c s="8" r="N432"/>
      <c s="8" r="O432"/>
      <c s="8" r="P432"/>
      <c s="8" r="Q432"/>
      <c s="8" r="R432"/>
      <c s="8" r="S432"/>
      <c s="8" r="T432"/>
      <c s="8" r="U432"/>
      <c s="8" r="V432"/>
      <c s="8" r="W432"/>
      <c s="8" r="X432"/>
      <c s="8" r="Y432"/>
      <c s="8" r="Z432"/>
      <c s="8" r="AA432"/>
    </row>
    <row r="433">
      <c t="s" s="7" r="A433">
        <v>1515</v>
      </c>
      <c t="s" s="7" r="B433">
        <v>1516</v>
      </c>
      <c s="8" r="C433"/>
      <c s="8" r="D433"/>
      <c s="8" r="E433"/>
      <c s="8" r="F433"/>
      <c s="8" r="G433"/>
      <c s="8" r="H433"/>
      <c s="8" r="I433"/>
      <c s="8" r="J433"/>
      <c s="8" r="K433"/>
      <c s="8" r="L433"/>
      <c s="8" r="M433"/>
      <c s="8" r="N433"/>
      <c s="8" r="O433"/>
      <c s="8" r="P433"/>
      <c s="8" r="Q433"/>
      <c s="8" r="R433"/>
      <c s="8" r="S433"/>
      <c s="8" r="T433"/>
      <c s="8" r="U433"/>
      <c s="8" r="V433"/>
      <c s="8" r="W433"/>
      <c s="8" r="X433"/>
      <c s="8" r="Y433"/>
      <c s="8" r="Z433"/>
      <c s="8" r="AA433"/>
    </row>
    <row r="434">
      <c t="s" s="7" r="A434">
        <v>1517</v>
      </c>
      <c t="s" s="7" r="B434">
        <v>1518</v>
      </c>
      <c t="s" s="7" r="C434">
        <v>1519</v>
      </c>
      <c s="8" r="D434"/>
      <c s="8" r="E434"/>
      <c s="8" r="F434"/>
      <c s="8" r="G434"/>
      <c s="8" r="H434"/>
      <c s="8" r="I434"/>
      <c s="8" r="J434"/>
      <c s="8" r="K434"/>
      <c s="8" r="L434"/>
      <c s="8" r="M434"/>
      <c s="8" r="N434"/>
      <c s="8" r="O434"/>
      <c s="8" r="P434"/>
      <c s="8" r="Q434"/>
      <c s="8" r="R434"/>
      <c s="8" r="S434"/>
      <c s="8" r="T434"/>
      <c s="8" r="U434"/>
      <c s="8" r="V434"/>
      <c s="8" r="W434"/>
      <c s="8" r="X434"/>
      <c s="8" r="Y434"/>
      <c s="8" r="Z434"/>
      <c s="8" r="AA434"/>
    </row>
    <row r="435">
      <c t="s" s="7" r="A435">
        <v>1520</v>
      </c>
      <c t="s" s="7" r="B435">
        <v>1521</v>
      </c>
      <c t="s" s="7" r="C435">
        <v>1522</v>
      </c>
      <c s="8" r="D435"/>
      <c s="8" r="E435"/>
      <c s="8" r="F435"/>
      <c s="8" r="G435"/>
      <c s="8" r="H435"/>
      <c s="8" r="I435"/>
      <c s="8" r="J435"/>
      <c s="8" r="K435"/>
      <c s="8" r="L435"/>
      <c s="8" r="M435"/>
      <c s="8" r="N435"/>
      <c s="8" r="O435"/>
      <c s="8" r="P435"/>
      <c s="8" r="Q435"/>
      <c s="8" r="R435"/>
      <c s="8" r="S435"/>
      <c s="8" r="T435"/>
      <c s="8" r="U435"/>
      <c s="8" r="V435"/>
      <c s="8" r="W435"/>
      <c s="8" r="X435"/>
      <c s="8" r="Y435"/>
      <c s="8" r="Z435"/>
      <c s="8" r="AA435"/>
    </row>
    <row r="436">
      <c t="s" s="7" r="A436">
        <v>1523</v>
      </c>
      <c t="s" s="7" r="B436">
        <v>1524</v>
      </c>
      <c t="s" s="7" r="C436">
        <v>1525</v>
      </c>
      <c s="8" r="D436"/>
      <c s="8" r="E436"/>
      <c s="8" r="F436"/>
      <c s="8" r="G436"/>
      <c s="8" r="H436"/>
      <c s="8" r="I436"/>
      <c s="8" r="J436"/>
      <c s="8" r="K436"/>
      <c s="8" r="L436"/>
      <c s="8" r="M436"/>
      <c s="8" r="N436"/>
      <c s="8" r="O436"/>
      <c s="8" r="P436"/>
      <c s="8" r="Q436"/>
      <c s="8" r="R436"/>
      <c s="8" r="S436"/>
      <c s="8" r="T436"/>
      <c s="8" r="U436"/>
      <c s="8" r="V436"/>
      <c s="8" r="W436"/>
      <c s="8" r="X436"/>
      <c s="8" r="Y436"/>
      <c s="8" r="Z436"/>
      <c s="8" r="AA436"/>
    </row>
    <row r="437">
      <c t="s" s="7" r="A437">
        <v>1526</v>
      </c>
      <c t="s" s="7" r="B437">
        <v>1527</v>
      </c>
      <c t="s" s="7" r="C437">
        <v>1528</v>
      </c>
      <c s="8" r="D437"/>
      <c s="8" r="E437"/>
      <c s="8" r="F437"/>
      <c s="8" r="G437"/>
      <c s="8" r="H437"/>
      <c s="8" r="I437"/>
      <c s="8" r="J437"/>
      <c s="8" r="K437"/>
      <c s="8" r="L437"/>
      <c s="8" r="M437"/>
      <c s="8" r="N437"/>
      <c s="8" r="O437"/>
      <c s="8" r="P437"/>
      <c s="8" r="Q437"/>
      <c s="8" r="R437"/>
      <c s="8" r="S437"/>
      <c s="8" r="T437"/>
      <c s="8" r="U437"/>
      <c s="8" r="V437"/>
      <c s="8" r="W437"/>
      <c s="8" r="X437"/>
      <c s="8" r="Y437"/>
      <c s="8" r="Z437"/>
      <c s="8" r="AA437"/>
    </row>
    <row r="438">
      <c t="s" s="7" r="A438">
        <v>1529</v>
      </c>
      <c t="s" s="7" r="B438">
        <v>1530</v>
      </c>
      <c t="s" s="7" r="C438">
        <v>1531</v>
      </c>
      <c s="8" r="D438"/>
      <c s="8" r="E438"/>
      <c s="8" r="F438"/>
      <c s="8" r="G438"/>
      <c s="8" r="H438"/>
      <c s="8" r="I438"/>
      <c s="8" r="J438"/>
      <c s="8" r="K438"/>
      <c s="8" r="L438"/>
      <c s="8" r="M438"/>
      <c s="8" r="N438"/>
      <c s="8" r="O438"/>
      <c s="8" r="P438"/>
      <c s="8" r="Q438"/>
      <c s="8" r="R438"/>
      <c s="8" r="S438"/>
      <c s="8" r="T438"/>
      <c s="8" r="U438"/>
      <c s="8" r="V438"/>
      <c s="8" r="W438"/>
      <c s="8" r="X438"/>
      <c s="8" r="Y438"/>
      <c s="8" r="Z438"/>
      <c s="8" r="AA438"/>
    </row>
    <row r="439">
      <c t="s" s="7" r="A439">
        <v>1532</v>
      </c>
      <c t="s" s="7" r="B439">
        <v>1533</v>
      </c>
      <c t="s" s="7" r="C439">
        <v>1534</v>
      </c>
      <c t="s" s="7" r="D439">
        <v>1535</v>
      </c>
      <c s="8" r="E439"/>
      <c s="8" r="F439"/>
      <c t="s" s="7" r="G439">
        <v>1536</v>
      </c>
      <c s="8" r="H439"/>
      <c s="8" r="I439"/>
      <c s="8" r="J439"/>
      <c s="8" r="K439"/>
      <c s="8" r="L439"/>
      <c s="8" r="M439"/>
      <c s="8" r="N439"/>
      <c s="8" r="O439"/>
      <c s="8" r="P439"/>
      <c s="8" r="Q439"/>
      <c s="8" r="R439"/>
      <c s="8" r="S439"/>
      <c s="8" r="T439"/>
      <c s="8" r="U439"/>
      <c s="8" r="V439"/>
      <c s="8" r="W439"/>
      <c s="8" r="X439"/>
      <c s="8" r="Y439"/>
      <c s="8" r="Z439"/>
      <c s="8" r="AA439"/>
    </row>
    <row r="440">
      <c t="s" s="7" r="A440">
        <v>1537</v>
      </c>
      <c t="s" s="7" r="B440">
        <v>1538</v>
      </c>
      <c t="s" s="7" r="C440">
        <v>1539</v>
      </c>
      <c s="8" r="D440"/>
      <c s="8" r="E440"/>
      <c s="8" r="F440"/>
      <c s="8" r="G440"/>
      <c s="8" r="H440"/>
      <c s="8" r="I440"/>
      <c s="8" r="J440"/>
      <c s="8" r="K440"/>
      <c s="8" r="L440"/>
      <c s="8" r="M440"/>
      <c s="8" r="N440"/>
      <c s="8" r="O440"/>
      <c s="8" r="P440"/>
      <c s="8" r="Q440"/>
      <c s="8" r="R440"/>
      <c s="8" r="S440"/>
      <c s="8" r="T440"/>
      <c s="8" r="U440"/>
      <c s="8" r="V440"/>
      <c s="8" r="W440"/>
      <c s="8" r="X440"/>
      <c s="8" r="Y440"/>
      <c s="8" r="Z440"/>
      <c s="8" r="AA440"/>
    </row>
    <row r="441">
      <c t="s" s="7" r="A441">
        <v>1540</v>
      </c>
      <c t="s" s="7" r="B441">
        <v>1541</v>
      </c>
      <c t="s" s="7" r="C441">
        <v>1542</v>
      </c>
      <c t="s" s="7" r="D441">
        <v>1543</v>
      </c>
      <c s="8" r="E441"/>
      <c s="8" r="F441"/>
      <c s="8" r="G441"/>
      <c t="s" s="7" r="H441">
        <v>1544</v>
      </c>
      <c s="8" r="I441"/>
      <c s="8" r="J441"/>
      <c s="8" r="K441"/>
      <c s="8" r="L441"/>
      <c s="8" r="M441"/>
      <c s="8" r="N441"/>
      <c s="8" r="O441"/>
      <c s="8" r="P441"/>
      <c s="8" r="Q441"/>
      <c s="8" r="R441"/>
      <c s="8" r="S441"/>
      <c s="8" r="T441"/>
      <c s="8" r="U441"/>
      <c s="8" r="V441"/>
      <c s="8" r="W441"/>
      <c s="8" r="X441"/>
      <c s="8" r="Y441"/>
      <c s="8" r="Z441"/>
      <c s="8" r="AA441"/>
    </row>
    <row r="442">
      <c t="s" s="7" r="A442">
        <v>1545</v>
      </c>
      <c t="s" s="7" r="B442">
        <v>1546</v>
      </c>
      <c t="s" s="7" r="C442">
        <v>1547</v>
      </c>
      <c t="s" s="7" r="D442">
        <v>1548</v>
      </c>
      <c t="str" s="9" r="E442">
        <f>HYPERLINK("https://twitter.com/toms3051","@Toms3051")</f>
        <v>@Toms3051</v>
      </c>
      <c t="str" s="9" r="F442">
        <f>HYPERLINK("http://instagram.com/Tom295","@Tom295 ")</f>
        <v>@Tom295 </v>
      </c>
      <c t="s" s="7" r="G442">
        <v>1549</v>
      </c>
      <c s="8" r="H442"/>
      <c s="8" r="I442"/>
      <c s="8" r="J442"/>
      <c s="8" r="K442"/>
      <c s="8" r="L442"/>
      <c s="8" r="M442"/>
      <c s="8" r="N442"/>
      <c s="8" r="O442"/>
      <c s="8" r="P442"/>
      <c s="8" r="Q442"/>
      <c s="8" r="R442"/>
      <c s="8" r="S442"/>
      <c s="8" r="T442"/>
      <c s="8" r="U442"/>
      <c s="8" r="V442"/>
      <c s="8" r="W442"/>
      <c s="8" r="X442"/>
      <c s="8" r="Y442"/>
      <c s="8" r="Z442"/>
      <c s="8" r="AA442"/>
    </row>
    <row r="443">
      <c t="s" s="7" r="A443">
        <v>1550</v>
      </c>
      <c t="s" s="7" r="B443">
        <v>1551</v>
      </c>
      <c t="s" s="7" r="C443">
        <v>1552</v>
      </c>
      <c s="8" r="D443"/>
      <c s="8" r="E443"/>
      <c s="8" r="F443"/>
      <c s="8" r="G443"/>
      <c s="8" r="H443"/>
      <c s="8" r="I443"/>
      <c s="8" r="J443"/>
      <c s="8" r="K443"/>
      <c s="8" r="L443"/>
      <c s="8" r="M443"/>
      <c s="8" r="N443"/>
      <c s="8" r="O443"/>
      <c s="8" r="P443"/>
      <c s="8" r="Q443"/>
      <c s="8" r="R443"/>
      <c s="8" r="S443"/>
      <c s="8" r="T443"/>
      <c s="8" r="U443"/>
      <c s="8" r="V443"/>
      <c s="8" r="W443"/>
      <c s="8" r="X443"/>
      <c s="8" r="Y443"/>
      <c s="8" r="Z443"/>
      <c s="8" r="AA443"/>
    </row>
    <row r="444">
      <c t="s" s="7" r="A444">
        <v>1553</v>
      </c>
      <c t="s" s="7" r="B444">
        <v>1554</v>
      </c>
      <c t="s" s="7" r="C444">
        <v>1555</v>
      </c>
      <c t="s" s="7" r="D444">
        <v>1556</v>
      </c>
      <c t="str" s="9" r="E444">
        <f>HYPERLINK("https://twitter.com/Oldmanfry","@oldmanfry")</f>
        <v>@oldmanfry</v>
      </c>
      <c t="str" s="9" r="F444">
        <f>HYPERLINK("http://instagram.com/oldmanfry","@oldmanfry")</f>
        <v>@oldmanfry</v>
      </c>
      <c s="8" r="G444"/>
      <c t="s" s="7" r="H444">
        <v>1557</v>
      </c>
      <c s="8" r="I444"/>
      <c s="8" r="J444"/>
      <c s="8" r="K444"/>
      <c s="8" r="L444"/>
      <c s="8" r="M444"/>
      <c s="8" r="N444"/>
      <c s="8" r="O444"/>
      <c s="8" r="P444"/>
      <c s="8" r="Q444"/>
      <c s="8" r="R444"/>
      <c s="8" r="S444"/>
      <c s="8" r="T444"/>
      <c s="8" r="U444"/>
      <c s="8" r="V444"/>
      <c s="8" r="W444"/>
      <c s="8" r="X444"/>
      <c s="8" r="Y444"/>
      <c s="8" r="Z444"/>
      <c s="8" r="AA444"/>
    </row>
    <row r="445">
      <c t="s" s="7" r="A445">
        <v>1558</v>
      </c>
      <c t="s" s="7" r="B445">
        <v>1559</v>
      </c>
      <c t="s" s="7" r="C445">
        <v>1560</v>
      </c>
      <c t="s" s="7" r="D445">
        <v>1561</v>
      </c>
      <c t="str" s="9" r="E445">
        <f>HYPERLINK("https://twitter.com/emilyinSD","@EmilyInSD")</f>
        <v>@EmilyInSD</v>
      </c>
      <c t="str" s="9" r="F445">
        <f>HYPERLINK("http://instagram.com/emilyinsd","@EmilyInSD")</f>
        <v>@EmilyInSD</v>
      </c>
      <c t="s" s="7" r="G445">
        <v>1562</v>
      </c>
      <c t="s" s="7" r="H445">
        <v>1563</v>
      </c>
      <c s="8" r="I445"/>
      <c s="8" r="J445"/>
      <c s="8" r="K445"/>
      <c s="8" r="L445"/>
      <c s="8" r="M445"/>
      <c s="8" r="N445"/>
      <c s="8" r="O445"/>
      <c s="8" r="P445"/>
      <c s="8" r="Q445"/>
      <c s="8" r="R445"/>
      <c s="8" r="S445"/>
      <c s="8" r="T445"/>
      <c s="8" r="U445"/>
      <c s="8" r="V445"/>
      <c s="8" r="W445"/>
      <c s="8" r="X445"/>
      <c s="8" r="Y445"/>
      <c s="8" r="Z445"/>
      <c s="8" r="AA445"/>
    </row>
    <row r="446">
      <c t="s" s="7" r="A446">
        <v>1564</v>
      </c>
      <c t="s" s="7" r="B446">
        <v>1565</v>
      </c>
      <c t="s" s="7" r="C446">
        <v>1566</v>
      </c>
      <c s="8" r="D446"/>
      <c s="8" r="E446"/>
      <c s="8" r="F446"/>
      <c s="8" r="G446"/>
      <c s="8" r="H446"/>
      <c s="8" r="I446"/>
      <c s="8" r="J446"/>
      <c s="8" r="K446"/>
      <c s="8" r="L446"/>
      <c s="8" r="M446"/>
      <c s="8" r="N446"/>
      <c s="8" r="O446"/>
      <c s="8" r="P446"/>
      <c s="8" r="Q446"/>
      <c s="8" r="R446"/>
      <c s="8" r="S446"/>
      <c s="8" r="T446"/>
      <c s="8" r="U446"/>
      <c s="8" r="V446"/>
      <c s="8" r="W446"/>
      <c s="8" r="X446"/>
      <c s="8" r="Y446"/>
      <c s="8" r="Z446"/>
      <c s="8" r="AA446"/>
    </row>
    <row r="447">
      <c t="s" s="7" r="A447">
        <v>1567</v>
      </c>
      <c t="s" s="7" r="B447">
        <v>1568</v>
      </c>
      <c t="s" s="7" r="C447">
        <v>1569</v>
      </c>
      <c s="8" r="D447"/>
      <c s="8" r="E447"/>
      <c s="8" r="F447"/>
      <c s="8" r="G447"/>
      <c s="8" r="H447"/>
      <c s="8" r="I447"/>
      <c s="8" r="J447"/>
      <c s="8" r="K447"/>
      <c s="8" r="L447"/>
      <c s="8" r="M447"/>
      <c s="8" r="N447"/>
      <c s="8" r="O447"/>
      <c s="8" r="P447"/>
      <c s="8" r="Q447"/>
      <c s="8" r="R447"/>
      <c s="8" r="S447"/>
      <c s="8" r="T447"/>
      <c s="8" r="U447"/>
      <c s="8" r="V447"/>
      <c s="8" r="W447"/>
      <c s="8" r="X447"/>
      <c s="8" r="Y447"/>
      <c s="8" r="Z447"/>
      <c s="8" r="AA447"/>
    </row>
    <row r="448">
      <c t="s" s="7" r="A448">
        <v>1570</v>
      </c>
      <c t="s" s="7" r="B448">
        <v>1571</v>
      </c>
      <c t="s" s="7" r="C448">
        <v>1572</v>
      </c>
      <c t="s" s="7" r="D448">
        <v>1573</v>
      </c>
      <c t="str" s="9" r="E448">
        <f>HYPERLINK("https://twitter.com/TithaS","@tithas")</f>
        <v>@tithas</v>
      </c>
      <c t="str" s="9" r="F448">
        <f>HYPERLINK("http://instagram.com/SGTwolfknife","@sgtwolfknife")</f>
        <v>@sgtwolfknife</v>
      </c>
      <c s="8" r="G448"/>
      <c s="8" r="H448"/>
      <c s="8" r="I448"/>
      <c s="8" r="J448"/>
      <c s="8" r="K448"/>
      <c s="8" r="L448"/>
      <c s="8" r="M448"/>
      <c s="8" r="N448"/>
      <c s="8" r="O448"/>
      <c s="8" r="P448"/>
      <c s="8" r="Q448"/>
      <c s="8" r="R448"/>
      <c s="8" r="S448"/>
      <c s="8" r="T448"/>
      <c s="8" r="U448"/>
      <c s="8" r="V448"/>
      <c s="8" r="W448"/>
      <c s="8" r="X448"/>
      <c s="8" r="Y448"/>
      <c s="8" r="Z448"/>
      <c s="8" r="AA448"/>
    </row>
    <row r="449">
      <c t="s" s="7" r="A449">
        <v>1574</v>
      </c>
      <c t="s" s="7" r="B449">
        <v>1575</v>
      </c>
      <c t="s" s="7" r="C449">
        <v>1576</v>
      </c>
      <c s="8" r="D449"/>
      <c s="8" r="E449"/>
      <c s="8" r="F449"/>
      <c s="8" r="G449"/>
      <c s="8" r="H449"/>
      <c s="8" r="I449"/>
      <c s="8" r="J449"/>
      <c s="8" r="K449"/>
      <c s="8" r="L449"/>
      <c s="8" r="M449"/>
      <c s="8" r="N449"/>
      <c s="8" r="O449"/>
      <c s="8" r="P449"/>
      <c s="8" r="Q449"/>
      <c s="8" r="R449"/>
      <c s="8" r="S449"/>
      <c s="8" r="T449"/>
      <c s="8" r="U449"/>
      <c s="8" r="V449"/>
      <c s="8" r="W449"/>
      <c s="8" r="X449"/>
      <c s="8" r="Y449"/>
      <c s="8" r="Z449"/>
      <c s="8" r="AA449"/>
    </row>
    <row r="450">
      <c t="s" s="7" r="A450">
        <v>1577</v>
      </c>
      <c t="s" s="7" r="B450">
        <v>1578</v>
      </c>
      <c t="s" s="7" r="C450">
        <v>1579</v>
      </c>
      <c s="8" r="D450"/>
      <c s="8" r="E450"/>
      <c s="8" r="F450"/>
      <c s="8" r="G450"/>
      <c s="8" r="H450"/>
      <c s="8" r="I450"/>
      <c s="8" r="J450"/>
      <c s="8" r="K450"/>
      <c s="8" r="L450"/>
      <c s="8" r="M450"/>
      <c s="8" r="N450"/>
      <c s="8" r="O450"/>
      <c s="8" r="P450"/>
      <c s="8" r="Q450"/>
      <c s="8" r="R450"/>
      <c s="8" r="S450"/>
      <c s="8" r="T450"/>
      <c s="8" r="U450"/>
      <c s="8" r="V450"/>
      <c s="8" r="W450"/>
      <c s="8" r="X450"/>
      <c s="8" r="Y450"/>
      <c s="8" r="Z450"/>
      <c s="8" r="AA450"/>
    </row>
    <row r="451">
      <c t="s" s="7" r="A451">
        <v>1580</v>
      </c>
      <c t="s" s="7" r="B451">
        <v>1581</v>
      </c>
      <c t="s" s="7" r="C451">
        <v>1582</v>
      </c>
      <c s="8" r="D451"/>
      <c s="8" r="E451"/>
      <c s="8" r="F451"/>
      <c s="8" r="G451"/>
      <c s="8" r="H451"/>
      <c s="8" r="I451"/>
      <c s="8" r="J451"/>
      <c s="8" r="K451"/>
      <c s="8" r="L451"/>
      <c s="8" r="M451"/>
      <c s="8" r="N451"/>
      <c s="8" r="O451"/>
      <c s="8" r="P451"/>
      <c s="8" r="Q451"/>
      <c s="8" r="R451"/>
      <c s="8" r="S451"/>
      <c s="8" r="T451"/>
      <c s="8" r="U451"/>
      <c s="8" r="V451"/>
      <c s="8" r="W451"/>
      <c s="8" r="X451"/>
      <c s="8" r="Y451"/>
      <c s="8" r="Z451"/>
      <c s="8" r="AA451"/>
    </row>
    <row r="452">
      <c t="s" s="7" r="A452">
        <v>1583</v>
      </c>
      <c t="s" s="7" r="B452">
        <v>1584</v>
      </c>
      <c t="s" s="7" r="C452">
        <v>1585</v>
      </c>
      <c s="8" r="D452"/>
      <c s="8" r="E452"/>
      <c s="8" r="F452"/>
      <c s="8" r="G452"/>
      <c s="8" r="H452"/>
      <c s="8" r="I452"/>
      <c s="8" r="J452"/>
      <c s="8" r="K452"/>
      <c s="8" r="L452"/>
      <c s="8" r="M452"/>
      <c s="8" r="N452"/>
      <c s="8" r="O452"/>
      <c s="8" r="P452"/>
      <c s="8" r="Q452"/>
      <c s="8" r="R452"/>
      <c s="8" r="S452"/>
      <c s="8" r="T452"/>
      <c s="8" r="U452"/>
      <c s="8" r="V452"/>
      <c s="8" r="W452"/>
      <c s="8" r="X452"/>
      <c s="8" r="Y452"/>
      <c s="8" r="Z452"/>
      <c s="8" r="AA452"/>
    </row>
    <row r="453">
      <c t="s" s="7" r="A453">
        <v>1586</v>
      </c>
      <c t="s" s="7" r="B453">
        <v>1587</v>
      </c>
      <c t="s" s="7" r="C453">
        <v>1588</v>
      </c>
      <c s="8" r="D453"/>
      <c s="8" r="E453"/>
      <c s="8" r="F453"/>
      <c s="8" r="G453"/>
      <c s="8" r="H453"/>
      <c s="8" r="I453"/>
      <c s="8" r="J453"/>
      <c s="8" r="K453"/>
      <c s="8" r="L453"/>
      <c s="8" r="M453"/>
      <c s="8" r="N453"/>
      <c s="8" r="O453"/>
      <c s="8" r="P453"/>
      <c s="8" r="Q453"/>
      <c s="8" r="R453"/>
      <c s="8" r="S453"/>
      <c s="8" r="T453"/>
      <c s="8" r="U453"/>
      <c s="8" r="V453"/>
      <c s="8" r="W453"/>
      <c s="8" r="X453"/>
      <c s="8" r="Y453"/>
      <c s="8" r="Z453"/>
      <c s="8" r="AA453"/>
    </row>
    <row r="454">
      <c t="s" s="7" r="A454">
        <v>1589</v>
      </c>
      <c t="s" s="7" r="B454">
        <v>1590</v>
      </c>
      <c t="s" s="7" r="C454">
        <v>1591</v>
      </c>
      <c s="8" r="D454"/>
      <c s="8" r="E454"/>
      <c s="8" r="F454"/>
      <c s="8" r="G454"/>
      <c s="8" r="H454"/>
      <c s="8" r="I454"/>
      <c s="8" r="J454"/>
      <c s="8" r="K454"/>
      <c s="8" r="L454"/>
      <c s="8" r="M454"/>
      <c s="8" r="N454"/>
      <c s="8" r="O454"/>
      <c s="8" r="P454"/>
      <c s="8" r="Q454"/>
      <c s="8" r="R454"/>
      <c s="8" r="S454"/>
      <c s="8" r="T454"/>
      <c s="8" r="U454"/>
      <c s="8" r="V454"/>
      <c s="8" r="W454"/>
      <c s="8" r="X454"/>
      <c s="8" r="Y454"/>
      <c s="8" r="Z454"/>
      <c s="8" r="AA454"/>
    </row>
    <row r="455">
      <c t="s" s="7" r="A455">
        <v>1592</v>
      </c>
      <c t="s" s="7" r="B455">
        <v>1593</v>
      </c>
      <c t="s" s="7" r="C455">
        <v>1594</v>
      </c>
      <c s="8" r="D455"/>
      <c s="8" r="E455"/>
      <c s="16" r="F455"/>
      <c s="7" r="G455"/>
      <c s="8" r="H455"/>
      <c s="8" r="I455"/>
      <c s="8" r="J455"/>
      <c s="8" r="K455"/>
      <c s="8" r="L455"/>
      <c s="8" r="M455"/>
      <c s="8" r="N455"/>
      <c s="8" r="O455"/>
      <c s="8" r="P455"/>
      <c s="8" r="Q455"/>
      <c s="8" r="R455"/>
      <c s="8" r="S455"/>
      <c s="8" r="T455"/>
      <c s="8" r="U455"/>
      <c s="8" r="V455"/>
      <c s="8" r="W455"/>
      <c s="8" r="X455"/>
      <c s="8" r="Y455"/>
      <c s="8" r="Z455"/>
      <c s="8" r="AA455"/>
    </row>
    <row r="456">
      <c t="s" s="7" r="A456">
        <v>1595</v>
      </c>
      <c t="s" s="7" r="B456">
        <v>1596</v>
      </c>
      <c t="s" s="7" r="C456">
        <v>1597</v>
      </c>
      <c t="s" s="7" r="D456">
        <v>1598</v>
      </c>
      <c s="8" r="E456"/>
      <c t="str" s="9" r="F456">
        <f>HYPERLINK("http://instagram.com/wolffire12","@wolffire12")</f>
        <v>@wolffire12</v>
      </c>
      <c t="s" s="7" r="G456">
        <v>1599</v>
      </c>
      <c s="8" r="H456"/>
      <c s="8" r="I456"/>
      <c s="8" r="J456"/>
      <c s="8" r="K456"/>
      <c s="8" r="L456"/>
      <c s="8" r="M456"/>
      <c s="8" r="N456"/>
      <c s="8" r="O456"/>
      <c s="8" r="P456"/>
      <c s="8" r="Q456"/>
      <c s="8" r="R456"/>
      <c s="8" r="S456"/>
      <c s="8" r="T456"/>
      <c s="8" r="U456"/>
      <c s="8" r="V456"/>
      <c s="8" r="W456"/>
      <c s="8" r="X456"/>
      <c s="8" r="Y456"/>
      <c s="8" r="Z456"/>
      <c s="8" r="AA456"/>
    </row>
    <row r="457">
      <c t="s" s="7" r="A457">
        <v>1600</v>
      </c>
      <c t="s" s="7" r="B457">
        <v>1601</v>
      </c>
      <c t="s" s="7" r="C457">
        <v>1602</v>
      </c>
      <c s="8" r="D457"/>
      <c s="8" r="E457"/>
      <c s="8" r="F457"/>
      <c s="8" r="G457"/>
      <c s="8" r="H457"/>
      <c s="8" r="I457"/>
      <c s="8" r="J457"/>
      <c s="8" r="K457"/>
      <c s="8" r="L457"/>
      <c s="8" r="M457"/>
      <c s="8" r="N457"/>
      <c s="8" r="O457"/>
      <c s="8" r="P457"/>
      <c s="8" r="Q457"/>
      <c s="8" r="R457"/>
      <c s="8" r="S457"/>
      <c s="8" r="T457"/>
      <c s="8" r="U457"/>
      <c s="8" r="V457"/>
      <c s="8" r="W457"/>
      <c s="8" r="X457"/>
      <c s="8" r="Y457"/>
      <c s="8" r="Z457"/>
      <c s="8" r="AA457"/>
    </row>
    <row r="458">
      <c t="s" s="7" r="A458">
        <v>1603</v>
      </c>
      <c t="s" s="7" r="B458">
        <v>1604</v>
      </c>
      <c t="s" s="7" r="C458">
        <v>1605</v>
      </c>
      <c s="8" r="D458"/>
      <c s="8" r="E458"/>
      <c s="8" r="F458"/>
      <c s="8" r="G458"/>
      <c s="8" r="H458"/>
      <c s="8" r="I458"/>
      <c s="8" r="J458"/>
      <c s="8" r="K458"/>
      <c s="8" r="L458"/>
      <c s="8" r="M458"/>
      <c s="8" r="N458"/>
      <c s="8" r="O458"/>
      <c s="8" r="P458"/>
      <c s="8" r="Q458"/>
      <c s="8" r="R458"/>
      <c s="8" r="S458"/>
      <c s="8" r="T458"/>
      <c s="8" r="U458"/>
      <c s="8" r="V458"/>
      <c s="8" r="W458"/>
      <c s="8" r="X458"/>
      <c s="8" r="Y458"/>
      <c s="8" r="Z458"/>
      <c s="8" r="AA458"/>
    </row>
    <row r="459">
      <c t="s" s="7" r="A459">
        <v>1606</v>
      </c>
      <c t="s" s="7" r="B459">
        <v>1607</v>
      </c>
      <c t="s" s="7" r="C459">
        <v>1608</v>
      </c>
      <c s="8" r="D459"/>
      <c s="8" r="E459"/>
      <c s="8" r="F459"/>
      <c s="8" r="G459"/>
      <c s="8" r="H459"/>
      <c s="8" r="I459"/>
      <c s="8" r="J459"/>
      <c s="8" r="K459"/>
      <c s="8" r="L459"/>
      <c s="8" r="M459"/>
      <c s="8" r="N459"/>
      <c s="8" r="O459"/>
      <c s="8" r="P459"/>
      <c s="8" r="Q459"/>
      <c s="8" r="R459"/>
      <c s="8" r="S459"/>
      <c s="8" r="T459"/>
      <c s="8" r="U459"/>
      <c s="8" r="V459"/>
      <c s="8" r="W459"/>
      <c s="8" r="X459"/>
      <c s="8" r="Y459"/>
      <c s="8" r="Z459"/>
      <c s="8" r="AA459"/>
    </row>
    <row r="460">
      <c t="s" s="7" r="A460">
        <v>1609</v>
      </c>
      <c t="s" s="7" r="B460">
        <v>1610</v>
      </c>
      <c t="s" s="7" r="C460">
        <v>1611</v>
      </c>
      <c t="s" s="7" r="D460">
        <v>1612</v>
      </c>
      <c t="str" s="9" r="E460">
        <f>HYPERLINK("https://twitter.com/shit_toboggan","@shit_toboggan")</f>
        <v>@shit_toboggan</v>
      </c>
      <c t="str" s="17" r="F460">
        <f>HYPERLINK("http://instagram.com/shit.toboggan","@shit.toboggan")</f>
        <v>@shit.toboggan</v>
      </c>
      <c t="s" s="7" r="G460">
        <v>1613</v>
      </c>
      <c s="8" r="H460"/>
      <c s="8" r="I460"/>
      <c s="8" r="J460"/>
      <c s="8" r="K460"/>
      <c s="8" r="L460"/>
      <c s="8" r="M460"/>
      <c s="8" r="N460"/>
      <c s="8" r="O460"/>
      <c s="8" r="P460"/>
      <c s="8" r="Q460"/>
      <c s="8" r="R460"/>
      <c s="8" r="S460"/>
      <c s="8" r="T460"/>
      <c s="8" r="U460"/>
      <c s="8" r="V460"/>
      <c s="8" r="W460"/>
      <c s="8" r="X460"/>
      <c s="8" r="Y460"/>
      <c s="8" r="Z460"/>
      <c s="8" r="AA460"/>
    </row>
    <row r="461">
      <c t="s" s="7" r="A461">
        <v>1614</v>
      </c>
      <c t="s" s="7" r="B461">
        <v>1615</v>
      </c>
      <c t="s" s="7" r="C461">
        <v>1616</v>
      </c>
      <c s="8" r="D461"/>
      <c s="8" r="E461"/>
      <c s="8" r="F461"/>
      <c s="8" r="G461"/>
      <c s="8" r="H461"/>
      <c s="8" r="I461"/>
      <c s="8" r="J461"/>
      <c s="8" r="K461"/>
      <c s="8" r="L461"/>
      <c s="8" r="M461"/>
      <c s="8" r="N461"/>
      <c s="8" r="O461"/>
      <c s="8" r="P461"/>
      <c s="8" r="Q461"/>
      <c s="8" r="R461"/>
      <c s="8" r="S461"/>
      <c s="8" r="T461"/>
      <c s="8" r="U461"/>
      <c s="8" r="V461"/>
      <c s="8" r="W461"/>
      <c s="8" r="X461"/>
      <c s="8" r="Y461"/>
      <c s="8" r="Z461"/>
      <c s="8" r="AA461"/>
    </row>
    <row r="462">
      <c t="s" s="7" r="A462">
        <v>1617</v>
      </c>
      <c t="s" s="7" r="B462">
        <v>1618</v>
      </c>
      <c t="s" s="7" r="C462">
        <v>1619</v>
      </c>
      <c s="8" r="D462"/>
      <c s="8" r="E462"/>
      <c s="8" r="F462"/>
      <c s="8" r="G462"/>
      <c s="8" r="H462"/>
      <c s="8" r="I462"/>
      <c s="8" r="J462"/>
      <c s="8" r="K462"/>
      <c s="8" r="L462"/>
      <c s="8" r="M462"/>
      <c s="8" r="N462"/>
      <c s="8" r="O462"/>
      <c s="8" r="P462"/>
      <c s="8" r="Q462"/>
      <c s="8" r="R462"/>
      <c s="8" r="S462"/>
      <c s="8" r="T462"/>
      <c s="8" r="U462"/>
      <c s="8" r="V462"/>
      <c s="8" r="W462"/>
      <c s="8" r="X462"/>
      <c s="8" r="Y462"/>
      <c s="8" r="Z462"/>
      <c s="8" r="AA462"/>
    </row>
    <row r="463">
      <c t="s" s="7" r="A463">
        <v>1620</v>
      </c>
      <c t="s" s="7" r="B463">
        <v>1621</v>
      </c>
      <c t="s" s="7" r="C463">
        <v>1622</v>
      </c>
      <c s="8" r="D463"/>
      <c s="8" r="E463"/>
      <c s="8" r="F463"/>
      <c s="8" r="G463"/>
      <c s="8" r="H463"/>
      <c s="8" r="I463"/>
      <c s="8" r="J463"/>
      <c s="8" r="K463"/>
      <c s="8" r="L463"/>
      <c s="8" r="M463"/>
      <c s="8" r="N463"/>
      <c s="8" r="O463"/>
      <c s="8" r="P463"/>
      <c s="8" r="Q463"/>
      <c s="8" r="R463"/>
      <c s="8" r="S463"/>
      <c s="8" r="T463"/>
      <c s="8" r="U463"/>
      <c s="8" r="V463"/>
      <c s="8" r="W463"/>
      <c s="8" r="X463"/>
      <c s="8" r="Y463"/>
      <c s="8" r="Z463"/>
      <c s="8" r="AA463"/>
    </row>
    <row r="464">
      <c t="s" s="7" r="A464">
        <v>1623</v>
      </c>
      <c t="s" s="7" r="B464">
        <v>1624</v>
      </c>
      <c t="s" s="7" r="C464">
        <v>1625</v>
      </c>
      <c s="8" r="D464"/>
      <c s="8" r="E464"/>
      <c s="8" r="F464"/>
      <c s="8" r="G464"/>
      <c s="8" r="H464"/>
      <c s="8" r="I464"/>
      <c s="8" r="J464"/>
      <c s="8" r="K464"/>
      <c s="8" r="L464"/>
      <c s="8" r="M464"/>
      <c s="8" r="N464"/>
      <c s="8" r="O464"/>
      <c s="8" r="P464"/>
      <c s="8" r="Q464"/>
      <c s="8" r="R464"/>
      <c s="8" r="S464"/>
      <c s="8" r="T464"/>
      <c s="8" r="U464"/>
      <c s="8" r="V464"/>
      <c s="8" r="W464"/>
      <c s="8" r="X464"/>
      <c s="8" r="Y464"/>
      <c s="8" r="Z464"/>
      <c s="8" r="AA464"/>
    </row>
    <row r="465">
      <c t="s" s="7" r="A465">
        <v>1626</v>
      </c>
      <c t="s" s="7" r="B465">
        <v>1627</v>
      </c>
      <c t="s" s="7" r="C465">
        <v>1628</v>
      </c>
      <c s="8" r="D465"/>
      <c s="8" r="E465"/>
      <c s="8" r="F465"/>
      <c s="8" r="G465"/>
      <c s="8" r="H465"/>
      <c s="8" r="I465"/>
      <c s="8" r="J465"/>
      <c s="8" r="K465"/>
      <c s="8" r="L465"/>
      <c s="8" r="M465"/>
      <c s="8" r="N465"/>
      <c s="8" r="O465"/>
      <c s="8" r="P465"/>
      <c s="8" r="Q465"/>
      <c s="8" r="R465"/>
      <c s="8" r="S465"/>
      <c s="8" r="T465"/>
      <c s="8" r="U465"/>
      <c s="8" r="V465"/>
      <c s="8" r="W465"/>
      <c s="8" r="X465"/>
      <c s="8" r="Y465"/>
      <c s="8" r="Z465"/>
      <c s="8" r="AA465"/>
    </row>
    <row r="466">
      <c t="s" s="7" r="A466">
        <v>1629</v>
      </c>
      <c t="s" s="7" r="B466">
        <v>1630</v>
      </c>
      <c t="s" s="7" r="C466">
        <v>1631</v>
      </c>
      <c s="8" r="D466"/>
      <c s="8" r="E466"/>
      <c s="8" r="F466"/>
      <c s="8" r="G466"/>
      <c s="8" r="H466"/>
      <c s="8" r="I466"/>
      <c s="8" r="J466"/>
      <c s="8" r="K466"/>
      <c s="8" r="L466"/>
      <c s="8" r="M466"/>
      <c s="8" r="N466"/>
      <c s="8" r="O466"/>
      <c s="8" r="P466"/>
      <c s="8" r="Q466"/>
      <c s="8" r="R466"/>
      <c s="8" r="S466"/>
      <c s="8" r="T466"/>
      <c s="8" r="U466"/>
      <c s="8" r="V466"/>
      <c s="8" r="W466"/>
      <c s="8" r="X466"/>
      <c s="8" r="Y466"/>
      <c s="8" r="Z466"/>
      <c s="8" r="AA466"/>
    </row>
    <row r="467">
      <c t="s" s="7" r="A467">
        <v>1632</v>
      </c>
      <c t="s" s="7" r="B467">
        <v>1633</v>
      </c>
      <c t="s" s="7" r="C467">
        <v>1634</v>
      </c>
      <c s="8" r="D467"/>
      <c s="8" r="E467"/>
      <c s="8" r="F467"/>
      <c s="8" r="G467"/>
      <c s="8" r="H467"/>
      <c s="8" r="I467"/>
      <c s="8" r="J467"/>
      <c s="8" r="K467"/>
      <c s="8" r="L467"/>
      <c s="8" r="M467"/>
      <c s="8" r="N467"/>
      <c s="8" r="O467"/>
      <c s="8" r="P467"/>
      <c s="8" r="Q467"/>
      <c s="8" r="R467"/>
      <c s="8" r="S467"/>
      <c s="8" r="T467"/>
      <c s="8" r="U467"/>
      <c s="8" r="V467"/>
      <c s="8" r="W467"/>
      <c s="8" r="X467"/>
      <c s="8" r="Y467"/>
      <c s="8" r="Z467"/>
      <c s="8" r="AA467"/>
    </row>
    <row r="468">
      <c t="s" s="7" r="A468">
        <v>1635</v>
      </c>
      <c t="s" s="7" r="B468">
        <v>1636</v>
      </c>
      <c t="s" s="7" r="C468">
        <v>1637</v>
      </c>
      <c t="s" s="7" r="D468">
        <v>1638</v>
      </c>
      <c t="str" s="9" r="E468">
        <f>HYPERLINK("https://twitter.com/sleepyjoe_RDS","@SleepyJoe_RDS")</f>
        <v>@SleepyJoe_RDS</v>
      </c>
      <c t="str" s="9" r="F468">
        <f>HYPERLINK("http://instagram.com/sleepyjoepo","@SleepyJoePO")</f>
        <v>@SleepyJoePO</v>
      </c>
      <c t="s" s="7" r="G468">
        <v>1639</v>
      </c>
      <c t="s" s="7" r="H468">
        <v>1640</v>
      </c>
      <c s="8" r="I468"/>
      <c s="8" r="J468"/>
      <c s="8" r="K468"/>
      <c s="8" r="L468"/>
      <c s="8" r="M468"/>
      <c s="8" r="N468"/>
      <c s="8" r="O468"/>
      <c s="8" r="P468"/>
      <c s="8" r="Q468"/>
      <c s="8" r="R468"/>
      <c s="8" r="S468"/>
      <c s="8" r="T468"/>
      <c s="8" r="U468"/>
      <c s="8" r="V468"/>
      <c s="8" r="W468"/>
      <c s="8" r="X468"/>
      <c s="8" r="Y468"/>
      <c s="8" r="Z468"/>
      <c s="8" r="AA468"/>
    </row>
    <row r="469">
      <c t="s" s="7" r="A469">
        <v>1641</v>
      </c>
      <c t="s" s="7" r="B469">
        <v>1642</v>
      </c>
      <c t="s" s="7" r="C469">
        <v>1643</v>
      </c>
      <c s="8" r="D469"/>
      <c s="8" r="E469"/>
      <c s="8" r="F469"/>
      <c s="8" r="G469"/>
      <c s="8" r="H469"/>
      <c s="8" r="I469"/>
      <c s="8" r="J469"/>
      <c s="8" r="K469"/>
      <c s="8" r="L469"/>
      <c s="8" r="M469"/>
      <c s="8" r="N469"/>
      <c s="8" r="O469"/>
      <c s="8" r="P469"/>
      <c s="8" r="Q469"/>
      <c s="8" r="R469"/>
      <c s="8" r="S469"/>
      <c s="8" r="T469"/>
      <c s="8" r="U469"/>
      <c s="8" r="V469"/>
      <c s="8" r="W469"/>
      <c s="8" r="X469"/>
      <c s="8" r="Y469"/>
      <c s="8" r="Z469"/>
      <c s="8" r="AA469"/>
    </row>
    <row r="470">
      <c t="s" s="7" r="A470">
        <v>1644</v>
      </c>
      <c t="s" s="7" r="B470">
        <v>1645</v>
      </c>
      <c t="s" s="7" r="C470">
        <v>1646</v>
      </c>
      <c s="8" r="D470"/>
      <c s="8" r="E470"/>
      <c s="8" r="F470"/>
      <c s="8" r="G470"/>
      <c s="8" r="H470"/>
      <c s="8" r="I470"/>
      <c s="8" r="J470"/>
      <c s="8" r="K470"/>
      <c s="8" r="L470"/>
      <c s="8" r="M470"/>
      <c s="8" r="N470"/>
      <c s="8" r="O470"/>
      <c s="8" r="P470"/>
      <c s="8" r="Q470"/>
      <c s="8" r="R470"/>
      <c s="8" r="S470"/>
      <c s="8" r="T470"/>
      <c s="8" r="U470"/>
      <c s="8" r="V470"/>
      <c s="8" r="W470"/>
      <c s="8" r="X470"/>
      <c s="8" r="Y470"/>
      <c s="8" r="Z470"/>
      <c s="8" r="AA470"/>
    </row>
    <row r="471">
      <c t="s" s="7" r="A471">
        <v>1647</v>
      </c>
      <c t="s" s="7" r="B471">
        <v>1648</v>
      </c>
      <c t="s" s="7" r="C471">
        <v>1649</v>
      </c>
      <c s="8" r="D471"/>
      <c s="8" r="E471"/>
      <c s="8" r="F471"/>
      <c s="8" r="G471"/>
      <c s="8" r="H471"/>
      <c s="8" r="I471"/>
      <c s="8" r="J471"/>
      <c s="8" r="K471"/>
      <c s="8" r="L471"/>
      <c s="8" r="M471"/>
      <c s="8" r="N471"/>
      <c s="8" r="O471"/>
      <c s="8" r="P471"/>
      <c s="8" r="Q471"/>
      <c s="8" r="R471"/>
      <c s="8" r="S471"/>
      <c s="8" r="T471"/>
      <c s="8" r="U471"/>
      <c s="8" r="V471"/>
      <c s="8" r="W471"/>
      <c s="8" r="X471"/>
      <c s="8" r="Y471"/>
      <c s="8" r="Z471"/>
      <c s="8" r="AA471"/>
    </row>
    <row r="472">
      <c t="s" s="7" r="A472">
        <v>1650</v>
      </c>
      <c t="s" s="7" r="B472">
        <v>1651</v>
      </c>
      <c t="s" s="7" r="C472">
        <v>1652</v>
      </c>
      <c s="8" r="D472"/>
      <c s="8" r="E472"/>
      <c s="8" r="F472"/>
      <c s="8" r="G472"/>
      <c s="8" r="H472"/>
      <c s="8" r="I472"/>
      <c s="8" r="J472"/>
      <c s="8" r="K472"/>
      <c s="8" r="L472"/>
      <c s="8" r="M472"/>
      <c s="8" r="N472"/>
      <c s="8" r="O472"/>
      <c s="8" r="P472"/>
      <c s="8" r="Q472"/>
      <c s="8" r="R472"/>
      <c s="8" r="S472"/>
      <c s="8" r="T472"/>
      <c s="8" r="U472"/>
      <c s="8" r="V472"/>
      <c s="8" r="W472"/>
      <c s="8" r="X472"/>
      <c s="8" r="Y472"/>
      <c s="8" r="Z472"/>
      <c s="8" r="AA472"/>
    </row>
    <row r="473">
      <c t="s" s="7" r="A473">
        <v>1653</v>
      </c>
      <c t="s" s="7" r="B473">
        <v>1654</v>
      </c>
      <c t="s" s="7" r="C473">
        <v>1655</v>
      </c>
      <c t="s" s="7" r="D473">
        <v>1656</v>
      </c>
      <c t="str" s="9" r="E473">
        <f>HYPERLINK("https://twitter.com/Soccovitch","@soccovitch")</f>
        <v>@soccovitch</v>
      </c>
      <c t="str" s="9" r="F473">
        <f>HYPERLINK("http://instagram.com/soccovitch","@soccovitch")</f>
        <v>@soccovitch</v>
      </c>
      <c t="s" s="7" r="G473">
        <v>1657</v>
      </c>
      <c t="s" s="7" r="H473">
        <v>1658</v>
      </c>
      <c s="8" r="I473"/>
      <c s="8" r="J473"/>
      <c s="8" r="K473"/>
      <c s="8" r="L473"/>
      <c s="8" r="M473"/>
      <c s="8" r="N473"/>
      <c s="8" r="O473"/>
      <c s="8" r="P473"/>
      <c s="8" r="Q473"/>
      <c s="8" r="R473"/>
      <c s="8" r="S473"/>
      <c s="8" r="T473"/>
      <c s="8" r="U473"/>
      <c s="8" r="V473"/>
      <c s="8" r="W473"/>
      <c s="8" r="X473"/>
      <c s="8" r="Y473"/>
      <c s="8" r="Z473"/>
      <c s="8" r="AA473"/>
    </row>
    <row r="474">
      <c t="s" s="7" r="A474">
        <v>1659</v>
      </c>
      <c t="s" s="7" r="B474">
        <v>1660</v>
      </c>
      <c t="s" s="7" r="C474">
        <v>1661</v>
      </c>
      <c s="8" r="D474"/>
      <c s="16" r="E474"/>
      <c s="8" r="F474"/>
      <c s="8" r="G474"/>
      <c s="8" r="H474"/>
      <c s="8" r="I474"/>
      <c s="8" r="J474"/>
      <c s="8" r="K474"/>
      <c s="8" r="L474"/>
      <c s="8" r="M474"/>
      <c s="8" r="N474"/>
      <c s="8" r="O474"/>
      <c s="8" r="P474"/>
      <c s="8" r="Q474"/>
      <c s="8" r="R474"/>
      <c s="8" r="S474"/>
      <c s="8" r="T474"/>
      <c s="8" r="U474"/>
      <c s="8" r="V474"/>
      <c s="8" r="W474"/>
      <c s="8" r="X474"/>
      <c s="8" r="Y474"/>
      <c s="8" r="Z474"/>
      <c s="8" r="AA474"/>
    </row>
    <row r="475">
      <c t="s" s="7" r="A475">
        <v>1662</v>
      </c>
      <c t="s" s="7" r="B475">
        <v>1663</v>
      </c>
      <c t="s" s="7" r="C475">
        <v>1664</v>
      </c>
      <c s="8" r="D475"/>
      <c s="8" r="E475"/>
      <c s="8" r="F475"/>
      <c s="8" r="G475"/>
      <c s="8" r="H475"/>
      <c s="8" r="I475"/>
      <c s="8" r="J475"/>
      <c s="8" r="K475"/>
      <c s="8" r="L475"/>
      <c s="8" r="M475"/>
      <c s="8" r="N475"/>
      <c s="8" r="O475"/>
      <c s="8" r="P475"/>
      <c s="8" r="Q475"/>
      <c s="8" r="R475"/>
      <c s="8" r="S475"/>
      <c s="8" r="T475"/>
      <c s="8" r="U475"/>
      <c s="8" r="V475"/>
      <c s="8" r="W475"/>
      <c s="8" r="X475"/>
      <c s="8" r="Y475"/>
      <c s="8" r="Z475"/>
      <c s="8" r="AA475"/>
    </row>
    <row r="476">
      <c t="s" s="7" r="A476">
        <v>1665</v>
      </c>
      <c t="s" s="7" r="B476">
        <v>1666</v>
      </c>
      <c t="s" s="7" r="C476">
        <v>1667</v>
      </c>
      <c s="8" r="D476"/>
      <c s="8" r="E476"/>
      <c s="8" r="F476"/>
      <c s="8" r="G476"/>
      <c s="8" r="H476"/>
      <c s="8" r="I476"/>
      <c s="8" r="J476"/>
      <c s="8" r="K476"/>
      <c s="8" r="L476"/>
      <c s="8" r="M476"/>
      <c s="8" r="N476"/>
      <c s="8" r="O476"/>
      <c s="8" r="P476"/>
      <c s="8" r="Q476"/>
      <c s="8" r="R476"/>
      <c s="8" r="S476"/>
      <c s="8" r="T476"/>
      <c s="8" r="U476"/>
      <c s="8" r="V476"/>
      <c s="8" r="W476"/>
      <c s="8" r="X476"/>
      <c s="8" r="Y476"/>
      <c s="8" r="Z476"/>
      <c s="8" r="AA476"/>
    </row>
    <row r="477">
      <c t="s" s="7" r="A477">
        <v>1668</v>
      </c>
      <c t="s" s="7" r="B477">
        <v>1669</v>
      </c>
      <c t="s" s="7" r="C477">
        <v>1670</v>
      </c>
      <c s="8" r="D477"/>
      <c s="8" r="E477"/>
      <c s="8" r="F477"/>
      <c s="8" r="G477"/>
      <c s="8" r="H477"/>
      <c s="8" r="I477"/>
      <c s="8" r="J477"/>
      <c s="8" r="K477"/>
      <c s="8" r="L477"/>
      <c s="8" r="M477"/>
      <c s="8" r="N477"/>
      <c s="8" r="O477"/>
      <c s="8" r="P477"/>
      <c s="8" r="Q477"/>
      <c s="8" r="R477"/>
      <c s="8" r="S477"/>
      <c s="8" r="T477"/>
      <c s="8" r="U477"/>
      <c s="8" r="V477"/>
      <c s="8" r="W477"/>
      <c s="8" r="X477"/>
      <c s="8" r="Y477"/>
      <c s="8" r="Z477"/>
      <c s="8" r="AA477"/>
    </row>
    <row r="478">
      <c t="s" s="7" r="A478">
        <v>1671</v>
      </c>
      <c t="s" s="7" r="B478">
        <v>1672</v>
      </c>
      <c t="s" s="7" r="C478">
        <v>1673</v>
      </c>
      <c s="8" r="D478"/>
      <c s="8" r="E478"/>
      <c s="8" r="F478"/>
      <c s="8" r="G478"/>
      <c s="8" r="H478"/>
      <c s="8" r="I478"/>
      <c s="8" r="J478"/>
      <c s="8" r="K478"/>
      <c s="8" r="L478"/>
      <c s="8" r="M478"/>
      <c s="8" r="N478"/>
      <c s="8" r="O478"/>
      <c s="8" r="P478"/>
      <c s="8" r="Q478"/>
      <c s="8" r="R478"/>
      <c s="8" r="S478"/>
      <c s="8" r="T478"/>
      <c s="8" r="U478"/>
      <c s="8" r="V478"/>
      <c s="8" r="W478"/>
      <c s="8" r="X478"/>
      <c s="8" r="Y478"/>
      <c s="8" r="Z478"/>
      <c s="8" r="AA478"/>
    </row>
    <row r="479">
      <c t="s" s="7" r="A479">
        <v>1674</v>
      </c>
      <c t="s" s="7" r="B479">
        <v>1675</v>
      </c>
      <c t="s" s="7" r="C479">
        <v>1676</v>
      </c>
      <c s="8" r="D479"/>
      <c t="str" s="9" r="E479">
        <f>HYPERLINK("https://twitter.com/spaseghost","@spaseghost")</f>
        <v>@spaseghost</v>
      </c>
      <c s="8" r="F479"/>
      <c s="8" r="G479"/>
      <c s="8" r="H479"/>
      <c s="8" r="I479"/>
      <c s="8" r="J479"/>
      <c s="8" r="K479"/>
      <c s="8" r="L479"/>
      <c s="8" r="M479"/>
      <c s="8" r="N479"/>
      <c s="8" r="O479"/>
      <c s="8" r="P479"/>
      <c s="8" r="Q479"/>
      <c s="8" r="R479"/>
      <c s="8" r="S479"/>
      <c s="8" r="T479"/>
      <c s="8" r="U479"/>
      <c s="8" r="V479"/>
      <c s="8" r="W479"/>
      <c s="8" r="X479"/>
      <c s="8" r="Y479"/>
      <c s="8" r="Z479"/>
      <c s="8" r="AA479"/>
    </row>
    <row r="480">
      <c t="s" s="7" r="A480">
        <v>1677</v>
      </c>
      <c t="s" s="7" r="B480">
        <v>1678</v>
      </c>
      <c t="s" s="7" r="C480">
        <v>1679</v>
      </c>
      <c s="8" r="D480"/>
      <c s="8" r="E480"/>
      <c s="8" r="F480"/>
      <c s="8" r="G480"/>
      <c s="8" r="H480"/>
      <c s="8" r="I480"/>
      <c s="8" r="J480"/>
      <c s="8" r="K480"/>
      <c s="8" r="L480"/>
      <c s="8" r="M480"/>
      <c s="8" r="N480"/>
      <c s="8" r="O480"/>
      <c s="8" r="P480"/>
      <c s="8" r="Q480"/>
      <c s="8" r="R480"/>
      <c s="8" r="S480"/>
      <c s="8" r="T480"/>
      <c s="8" r="U480"/>
      <c s="8" r="V480"/>
      <c s="8" r="W480"/>
      <c s="8" r="X480"/>
      <c s="8" r="Y480"/>
      <c s="8" r="Z480"/>
      <c s="8" r="AA480"/>
    </row>
    <row r="481">
      <c t="s" s="7" r="A481">
        <v>1680</v>
      </c>
      <c t="s" s="7" r="B481">
        <v>1681</v>
      </c>
      <c t="s" s="7" r="C481">
        <v>1682</v>
      </c>
      <c s="8" r="D481"/>
      <c s="8" r="E481"/>
      <c s="8" r="F481"/>
      <c s="8" r="G481"/>
      <c s="8" r="H481"/>
      <c s="8" r="I481"/>
      <c s="8" r="J481"/>
      <c s="8" r="K481"/>
      <c s="8" r="L481"/>
      <c s="8" r="M481"/>
      <c s="8" r="N481"/>
      <c s="8" r="O481"/>
      <c s="8" r="P481"/>
      <c s="8" r="Q481"/>
      <c s="8" r="R481"/>
      <c s="8" r="S481"/>
      <c s="8" r="T481"/>
      <c s="8" r="U481"/>
      <c s="8" r="V481"/>
      <c s="8" r="W481"/>
      <c s="8" r="X481"/>
      <c s="8" r="Y481"/>
      <c s="8" r="Z481"/>
      <c s="8" r="AA481"/>
    </row>
    <row r="482">
      <c t="s" s="7" r="A482">
        <v>1683</v>
      </c>
      <c t="s" s="7" r="B482">
        <v>1684</v>
      </c>
      <c t="s" s="7" r="C482">
        <v>1685</v>
      </c>
      <c s="8" r="D482"/>
      <c s="8" r="E482"/>
      <c s="8" r="F482"/>
      <c s="8" r="G482"/>
      <c s="8" r="H482"/>
      <c s="8" r="I482"/>
      <c s="8" r="J482"/>
      <c s="8" r="K482"/>
      <c s="8" r="L482"/>
      <c s="8" r="M482"/>
      <c s="8" r="N482"/>
      <c s="8" r="O482"/>
      <c s="8" r="P482"/>
      <c s="8" r="Q482"/>
      <c s="8" r="R482"/>
      <c s="8" r="S482"/>
      <c s="8" r="T482"/>
      <c s="8" r="U482"/>
      <c s="8" r="V482"/>
      <c s="8" r="W482"/>
      <c s="8" r="X482"/>
      <c s="8" r="Y482"/>
      <c s="8" r="Z482"/>
      <c s="8" r="AA482"/>
    </row>
    <row r="483">
      <c t="s" s="7" r="A483">
        <v>1686</v>
      </c>
      <c t="s" s="7" r="B483">
        <v>1687</v>
      </c>
      <c t="s" s="7" r="C483">
        <v>1688</v>
      </c>
      <c t="s" s="7" r="D483">
        <v>1689</v>
      </c>
      <c t="str" s="9" r="E483">
        <f>HYPERLINK("https://twitter.com/Kvetter81","@Kvetter81")</f>
        <v>@Kvetter81</v>
      </c>
      <c t="str" s="9" r="F483">
        <f>HYPERLINK("http://instagram.com/Dibiase8181","@Dibiase8181")</f>
        <v>@Dibiase8181</v>
      </c>
      <c s="8" r="G483"/>
      <c s="8" r="H483"/>
      <c s="8" r="I483"/>
      <c s="8" r="J483"/>
      <c s="8" r="K483"/>
      <c s="8" r="L483"/>
      <c s="8" r="M483"/>
      <c s="8" r="N483"/>
      <c s="8" r="O483"/>
      <c s="8" r="P483"/>
      <c s="8" r="Q483"/>
      <c s="8" r="R483"/>
      <c s="8" r="S483"/>
      <c s="8" r="T483"/>
      <c s="8" r="U483"/>
      <c s="8" r="V483"/>
      <c s="8" r="W483"/>
      <c s="8" r="X483"/>
      <c s="8" r="Y483"/>
      <c s="8" r="Z483"/>
      <c s="8" r="AA483"/>
    </row>
    <row r="484">
      <c t="s" s="7" r="A484">
        <v>1690</v>
      </c>
      <c t="s" s="7" r="B484">
        <v>1691</v>
      </c>
      <c t="s" s="7" r="C484">
        <v>1692</v>
      </c>
      <c s="8" r="D484"/>
      <c s="8" r="E484"/>
      <c s="8" r="F484"/>
      <c s="8" r="G484"/>
      <c s="8" r="H484"/>
      <c s="8" r="I484"/>
      <c s="8" r="J484"/>
      <c s="8" r="K484"/>
      <c s="8" r="L484"/>
      <c s="8" r="M484"/>
      <c s="8" r="N484"/>
      <c s="8" r="O484"/>
      <c s="8" r="P484"/>
      <c s="8" r="Q484"/>
      <c s="8" r="R484"/>
      <c s="8" r="S484"/>
      <c s="8" r="T484"/>
      <c s="8" r="U484"/>
      <c s="8" r="V484"/>
      <c s="8" r="W484"/>
      <c s="8" r="X484"/>
      <c s="8" r="Y484"/>
      <c s="8" r="Z484"/>
      <c s="8" r="AA484"/>
    </row>
    <row r="485">
      <c t="s" s="7" r="A485">
        <v>1693</v>
      </c>
      <c t="s" s="7" r="B485">
        <v>1694</v>
      </c>
      <c t="s" s="7" r="C485">
        <v>1695</v>
      </c>
      <c s="8" r="D485"/>
      <c s="8" r="E485"/>
      <c s="8" r="F485"/>
      <c s="8" r="G485"/>
      <c s="8" r="H485"/>
      <c s="8" r="I485"/>
      <c s="8" r="J485"/>
      <c s="8" r="K485"/>
      <c s="8" r="L485"/>
      <c s="8" r="M485"/>
      <c s="8" r="N485"/>
      <c s="8" r="O485"/>
      <c s="8" r="P485"/>
      <c s="8" r="Q485"/>
      <c s="8" r="R485"/>
      <c s="8" r="S485"/>
      <c s="8" r="T485"/>
      <c s="8" r="U485"/>
      <c s="8" r="V485"/>
      <c s="8" r="W485"/>
      <c s="8" r="X485"/>
      <c s="8" r="Y485"/>
      <c s="8" r="Z485"/>
      <c s="8" r="AA485"/>
    </row>
    <row r="486">
      <c t="s" s="7" r="A486">
        <v>1696</v>
      </c>
      <c t="s" s="7" r="B486">
        <v>1697</v>
      </c>
      <c t="s" s="7" r="C486">
        <v>1698</v>
      </c>
      <c t="s" s="7" r="D486">
        <v>1699</v>
      </c>
      <c t="str" s="9" r="E486">
        <f>HYPERLINK("https://twitter.com/ErikStene","@ErikStene")</f>
        <v>@ErikStene</v>
      </c>
      <c t="str" s="9" r="F486">
        <f>HYPERLINK("http://instagram.com/gore_d","@gore_d")</f>
        <v>@gore_d</v>
      </c>
      <c s="8" r="G486"/>
      <c s="8" r="H486"/>
      <c s="8" r="I486"/>
      <c s="8" r="J486"/>
      <c s="8" r="K486"/>
      <c s="8" r="L486"/>
      <c s="8" r="M486"/>
      <c s="8" r="N486"/>
      <c s="8" r="O486"/>
      <c s="8" r="P486"/>
      <c s="8" r="Q486"/>
      <c s="8" r="R486"/>
      <c s="8" r="S486"/>
      <c s="8" r="T486"/>
      <c s="8" r="U486"/>
      <c s="8" r="V486"/>
      <c s="8" r="W486"/>
      <c s="8" r="X486"/>
      <c s="8" r="Y486"/>
      <c s="8" r="Z486"/>
      <c s="8" r="AA486"/>
    </row>
    <row r="487">
      <c t="s" s="7" r="A487">
        <v>1700</v>
      </c>
      <c t="s" s="7" r="B487">
        <v>1701</v>
      </c>
      <c t="s" s="7" r="C487">
        <v>1702</v>
      </c>
      <c t="s" s="7" r="D487">
        <v>1703</v>
      </c>
      <c t="str" s="9" r="E487">
        <f>HYPERLINK("https://twitter.com/stapleneck","@stapleneck")</f>
        <v>@stapleneck</v>
      </c>
      <c t="str" s="9" r="F487">
        <f>HYPERLINK("http://instagram.com/stapleneck","@stapleneck")</f>
        <v>@stapleneck</v>
      </c>
      <c t="s" s="7" r="G487">
        <v>1704</v>
      </c>
      <c t="s" s="7" r="H487">
        <v>1705</v>
      </c>
      <c s="8" r="I487"/>
      <c s="8" r="J487"/>
      <c s="8" r="K487"/>
      <c s="8" r="L487"/>
      <c s="8" r="M487"/>
      <c s="8" r="N487"/>
      <c s="8" r="O487"/>
      <c s="8" r="P487"/>
      <c s="8" r="Q487"/>
      <c s="8" r="R487"/>
      <c s="8" r="S487"/>
      <c s="8" r="T487"/>
      <c s="8" r="U487"/>
      <c s="8" r="V487"/>
      <c s="8" r="W487"/>
      <c s="8" r="X487"/>
      <c s="8" r="Y487"/>
      <c s="8" r="Z487"/>
      <c s="8" r="AA487"/>
    </row>
    <row r="488">
      <c t="s" s="7" r="A488">
        <v>1706</v>
      </c>
      <c t="s" s="7" r="B488">
        <v>1707</v>
      </c>
      <c t="s" s="7" r="C488">
        <v>1708</v>
      </c>
      <c s="8" r="D488"/>
      <c s="8" r="E488"/>
      <c s="8" r="F488"/>
      <c s="8" r="G488"/>
      <c s="8" r="H488"/>
      <c s="8" r="I488"/>
      <c s="8" r="J488"/>
      <c s="8" r="K488"/>
      <c s="8" r="L488"/>
      <c s="8" r="M488"/>
      <c s="8" r="N488"/>
      <c s="8" r="O488"/>
      <c s="8" r="P488"/>
      <c s="8" r="Q488"/>
      <c s="8" r="R488"/>
      <c s="8" r="S488"/>
      <c s="8" r="T488"/>
      <c s="8" r="U488"/>
      <c s="8" r="V488"/>
      <c s="8" r="W488"/>
      <c s="8" r="X488"/>
      <c s="8" r="Y488"/>
      <c s="8" r="Z488"/>
      <c s="8" r="AA488"/>
    </row>
    <row r="489">
      <c t="s" s="7" r="A489">
        <v>1709</v>
      </c>
      <c t="s" s="7" r="B489">
        <v>1710</v>
      </c>
      <c t="s" s="7" r="C489">
        <v>1711</v>
      </c>
      <c s="8" r="D489"/>
      <c s="8" r="E489"/>
      <c s="8" r="F489"/>
      <c s="8" r="G489"/>
      <c s="8" r="H489"/>
      <c s="8" r="I489"/>
      <c s="8" r="J489"/>
      <c s="8" r="K489"/>
      <c s="8" r="L489"/>
      <c s="8" r="M489"/>
      <c s="8" r="N489"/>
      <c s="8" r="O489"/>
      <c s="8" r="P489"/>
      <c s="8" r="Q489"/>
      <c s="8" r="R489"/>
      <c s="8" r="S489"/>
      <c s="8" r="T489"/>
      <c s="8" r="U489"/>
      <c s="8" r="V489"/>
      <c s="8" r="W489"/>
      <c s="8" r="X489"/>
      <c s="8" r="Y489"/>
      <c s="8" r="Z489"/>
      <c s="8" r="AA489"/>
    </row>
    <row r="490">
      <c t="s" s="7" r="A490">
        <v>1712</v>
      </c>
      <c t="s" s="7" r="B490">
        <v>1713</v>
      </c>
      <c t="s" s="7" r="C490">
        <v>1714</v>
      </c>
      <c t="s" s="7" r="D490">
        <v>1715</v>
      </c>
      <c s="8" r="E490"/>
      <c t="str" s="9" r="F490">
        <f>HYPERLINK("http://instagram.com/t_wreck","@T_Wreck")</f>
        <v>@T_Wreck</v>
      </c>
      <c s="8" r="G490"/>
      <c t="s" s="7" r="H490">
        <v>1716</v>
      </c>
      <c s="8" r="I490"/>
      <c s="8" r="J490"/>
      <c s="8" r="K490"/>
      <c s="8" r="L490"/>
      <c s="8" r="M490"/>
      <c s="8" r="N490"/>
      <c s="8" r="O490"/>
      <c s="8" r="P490"/>
      <c s="8" r="Q490"/>
      <c s="8" r="R490"/>
      <c s="8" r="S490"/>
      <c s="8" r="T490"/>
      <c s="8" r="U490"/>
      <c s="8" r="V490"/>
      <c s="8" r="W490"/>
      <c s="8" r="X490"/>
      <c s="8" r="Y490"/>
      <c s="8" r="Z490"/>
      <c s="8" r="AA490"/>
    </row>
    <row r="491">
      <c t="s" s="7" r="A491">
        <v>1717</v>
      </c>
      <c t="s" s="7" r="B491">
        <v>1718</v>
      </c>
      <c t="s" s="7" r="C491">
        <v>1719</v>
      </c>
      <c s="8" r="D491"/>
      <c s="8" r="E491"/>
      <c s="8" r="F491"/>
      <c s="8" r="G491"/>
      <c s="8" r="H491"/>
      <c s="8" r="I491"/>
      <c s="8" r="J491"/>
      <c s="8" r="K491"/>
      <c s="8" r="L491"/>
      <c s="8" r="M491"/>
      <c s="8" r="N491"/>
      <c s="8" r="O491"/>
      <c s="8" r="P491"/>
      <c s="8" r="Q491"/>
      <c s="8" r="R491"/>
      <c s="8" r="S491"/>
      <c s="8" r="T491"/>
      <c s="8" r="U491"/>
      <c s="8" r="V491"/>
      <c s="8" r="W491"/>
      <c s="8" r="X491"/>
      <c s="8" r="Y491"/>
      <c s="8" r="Z491"/>
      <c s="8" r="AA491"/>
    </row>
    <row r="492">
      <c t="s" s="7" r="A492">
        <v>1720</v>
      </c>
      <c t="s" s="7" r="B492">
        <v>1721</v>
      </c>
      <c t="s" s="7" r="C492">
        <v>1722</v>
      </c>
      <c s="8" r="D492"/>
      <c s="8" r="E492"/>
      <c s="8" r="F492"/>
      <c s="8" r="G492"/>
      <c s="8" r="H492"/>
      <c s="8" r="I492"/>
      <c s="8" r="J492"/>
      <c s="8" r="K492"/>
      <c s="8" r="L492"/>
      <c s="8" r="M492"/>
      <c s="8" r="N492"/>
      <c s="8" r="O492"/>
      <c s="8" r="P492"/>
      <c s="8" r="Q492"/>
      <c s="8" r="R492"/>
      <c s="8" r="S492"/>
      <c s="8" r="T492"/>
      <c s="8" r="U492"/>
      <c s="8" r="V492"/>
      <c s="8" r="W492"/>
      <c s="8" r="X492"/>
      <c s="8" r="Y492"/>
      <c s="8" r="Z492"/>
      <c s="8" r="AA492"/>
    </row>
    <row r="493">
      <c t="s" s="7" r="A493">
        <v>1723</v>
      </c>
      <c t="s" s="7" r="B493">
        <v>1724</v>
      </c>
      <c t="s" s="7" r="C493">
        <v>1725</v>
      </c>
      <c s="8" r="D493"/>
      <c s="8" r="E493"/>
      <c s="8" r="F493"/>
      <c s="8" r="G493"/>
      <c s="8" r="H493"/>
      <c s="8" r="I493"/>
      <c s="8" r="J493"/>
      <c s="8" r="K493"/>
      <c s="8" r="L493"/>
      <c s="8" r="M493"/>
      <c s="8" r="N493"/>
      <c s="8" r="O493"/>
      <c s="8" r="P493"/>
      <c s="8" r="Q493"/>
      <c s="8" r="R493"/>
      <c s="8" r="S493"/>
      <c s="8" r="T493"/>
      <c s="8" r="U493"/>
      <c s="8" r="V493"/>
      <c s="8" r="W493"/>
      <c s="8" r="X493"/>
      <c s="8" r="Y493"/>
      <c s="8" r="Z493"/>
      <c s="8" r="AA493"/>
    </row>
    <row r="494">
      <c t="s" s="7" r="A494">
        <v>1726</v>
      </c>
      <c t="s" s="7" r="B494">
        <v>1727</v>
      </c>
      <c t="s" s="7" r="C494">
        <v>1728</v>
      </c>
      <c t="s" s="7" r="D494">
        <v>1729</v>
      </c>
      <c t="str" s="9" r="E494">
        <f>HYPERLINK("https://twitter.com/FredoWin","@FredoWin")</f>
        <v>@FredoWin</v>
      </c>
      <c t="str" s="9" r="F494">
        <f>HYPERLINK("http://instagram.com/summer_pasta","@summer_pasta")</f>
        <v>@summer_pasta</v>
      </c>
      <c t="s" s="7" r="G494">
        <v>1730</v>
      </c>
      <c s="7" r="H494"/>
      <c s="8" r="I494"/>
      <c s="8" r="J494"/>
      <c s="8" r="K494"/>
      <c s="8" r="L494"/>
      <c s="8" r="M494"/>
      <c s="8" r="N494"/>
      <c s="8" r="O494"/>
      <c s="8" r="P494"/>
      <c s="8" r="Q494"/>
      <c s="8" r="R494"/>
      <c s="8" r="S494"/>
      <c s="8" r="T494"/>
      <c s="8" r="U494"/>
      <c s="8" r="V494"/>
      <c s="8" r="W494"/>
      <c s="8" r="X494"/>
      <c s="8" r="Y494"/>
      <c s="8" r="Z494"/>
      <c s="8" r="AA494"/>
    </row>
    <row r="495">
      <c t="s" s="7" r="A495">
        <v>1731</v>
      </c>
      <c t="s" s="7" r="B495">
        <v>1732</v>
      </c>
      <c t="s" s="7" r="C495">
        <v>1733</v>
      </c>
      <c t="s" s="7" r="D495">
        <v>1734</v>
      </c>
      <c t="str" s="9" r="E495">
        <f>HYPERLINK("https://twitter.com/possiblytully","@possiblytully")</f>
        <v>@possiblytully</v>
      </c>
      <c t="str" s="9" r="F495">
        <f>HYPERLINK("http://instagram.com/tullywood","@tullywood")</f>
        <v>@tullywood</v>
      </c>
      <c t="s" s="7" r="G495">
        <v>1735</v>
      </c>
      <c t="s" s="7" r="H495">
        <v>1736</v>
      </c>
      <c s="8" r="I495"/>
      <c s="8" r="J495"/>
      <c s="8" r="K495"/>
      <c s="8" r="L495"/>
      <c s="8" r="M495"/>
      <c s="8" r="N495"/>
      <c s="8" r="O495"/>
      <c s="8" r="P495"/>
      <c s="8" r="Q495"/>
      <c s="8" r="R495"/>
      <c s="8" r="S495"/>
      <c s="8" r="T495"/>
      <c s="8" r="U495"/>
      <c s="8" r="V495"/>
      <c s="8" r="W495"/>
      <c s="8" r="X495"/>
      <c s="8" r="Y495"/>
      <c s="8" r="Z495"/>
      <c s="8" r="AA495"/>
    </row>
    <row r="496">
      <c t="s" s="7" r="A496">
        <v>1737</v>
      </c>
      <c t="s" s="7" r="B496">
        <v>1738</v>
      </c>
      <c t="s" s="7" r="C496">
        <v>1739</v>
      </c>
      <c s="8" r="D496"/>
      <c s="8" r="E496"/>
      <c s="8" r="F496"/>
      <c s="8" r="G496"/>
      <c s="8" r="H496"/>
      <c s="8" r="I496"/>
      <c s="8" r="J496"/>
      <c s="8" r="K496"/>
      <c s="8" r="L496"/>
      <c s="8" r="M496"/>
      <c s="8" r="N496"/>
      <c s="8" r="O496"/>
      <c s="8" r="P496"/>
      <c s="8" r="Q496"/>
      <c s="8" r="R496"/>
      <c s="8" r="S496"/>
      <c s="8" r="T496"/>
      <c s="8" r="U496"/>
      <c s="8" r="V496"/>
      <c s="8" r="W496"/>
      <c s="8" r="X496"/>
      <c s="8" r="Y496"/>
      <c s="8" r="Z496"/>
      <c s="8" r="AA496"/>
    </row>
    <row r="497">
      <c t="s" s="7" r="A497">
        <v>1740</v>
      </c>
      <c t="s" s="7" r="B497">
        <v>1741</v>
      </c>
      <c t="s" s="7" r="C497">
        <v>1742</v>
      </c>
      <c t="s" s="7" r="D497">
        <v>1743</v>
      </c>
      <c t="str" s="9" r="E497">
        <f>HYPERLINK("https://twitter.com/JoleneParties","@JoleneParties")</f>
        <v>@JoleneParties</v>
      </c>
      <c t="str" s="9" r="F497">
        <f>HYPERLINK("http://instagram.com/missjolenemae","@missjolenemae")</f>
        <v>@missjolenemae</v>
      </c>
      <c s="8" r="G497"/>
      <c t="s" s="7" r="H497">
        <v>1744</v>
      </c>
      <c s="8" r="I497"/>
      <c s="8" r="J497"/>
      <c s="8" r="K497"/>
      <c s="8" r="L497"/>
      <c s="8" r="M497"/>
      <c s="8" r="N497"/>
      <c s="8" r="O497"/>
      <c s="8" r="P497"/>
      <c s="8" r="Q497"/>
      <c s="8" r="R497"/>
      <c s="8" r="S497"/>
      <c s="8" r="T497"/>
      <c s="8" r="U497"/>
      <c s="8" r="V497"/>
      <c s="8" r="W497"/>
      <c s="8" r="X497"/>
      <c s="8" r="Y497"/>
      <c s="8" r="Z497"/>
      <c s="8" r="AA497"/>
    </row>
    <row r="498">
      <c t="s" s="7" r="A498">
        <v>1745</v>
      </c>
      <c t="s" s="7" r="B498">
        <v>1746</v>
      </c>
      <c t="s" s="7" r="C498">
        <v>1747</v>
      </c>
      <c s="8" r="D498"/>
      <c s="8" r="E498"/>
      <c s="8" r="F498"/>
      <c s="8" r="G498"/>
      <c s="8" r="H498"/>
      <c s="8" r="I498"/>
      <c s="8" r="J498"/>
      <c s="8" r="K498"/>
      <c s="8" r="L498"/>
      <c s="8" r="M498"/>
      <c s="8" r="N498"/>
      <c s="8" r="O498"/>
      <c s="8" r="P498"/>
      <c s="8" r="Q498"/>
      <c s="8" r="R498"/>
      <c s="8" r="S498"/>
      <c s="8" r="T498"/>
      <c s="8" r="U498"/>
      <c s="8" r="V498"/>
      <c s="8" r="W498"/>
      <c s="8" r="X498"/>
      <c s="8" r="Y498"/>
      <c s="8" r="Z498"/>
      <c s="8" r="AA498"/>
    </row>
    <row r="499">
      <c t="s" s="7" r="A499">
        <v>1748</v>
      </c>
      <c t="s" s="7" r="B499">
        <v>1749</v>
      </c>
      <c t="s" s="7" r="C499">
        <v>1750</v>
      </c>
      <c s="8" r="D499"/>
      <c s="8" r="E499"/>
      <c s="8" r="F499"/>
      <c s="8" r="G499"/>
      <c s="8" r="H499"/>
      <c s="8" r="I499"/>
      <c s="8" r="J499"/>
      <c s="8" r="K499"/>
      <c s="8" r="L499"/>
      <c s="8" r="M499"/>
      <c s="8" r="N499"/>
      <c s="8" r="O499"/>
      <c s="8" r="P499"/>
      <c s="8" r="Q499"/>
      <c s="8" r="R499"/>
      <c s="8" r="S499"/>
      <c s="8" r="T499"/>
      <c s="8" r="U499"/>
      <c s="8" r="V499"/>
      <c s="8" r="W499"/>
      <c s="8" r="X499"/>
      <c s="8" r="Y499"/>
      <c s="8" r="Z499"/>
      <c s="8" r="AA499"/>
    </row>
    <row r="500">
      <c t="s" s="7" r="A500">
        <v>1751</v>
      </c>
      <c t="s" s="7" r="B500">
        <v>1752</v>
      </c>
      <c t="s" s="7" r="C500">
        <v>1753</v>
      </c>
      <c s="8" r="D500"/>
      <c s="8" r="E500"/>
      <c s="8" r="F500"/>
      <c s="8" r="G500"/>
      <c s="8" r="H500"/>
      <c s="8" r="I500"/>
      <c s="8" r="J500"/>
      <c s="8" r="K500"/>
      <c s="8" r="L500"/>
      <c s="8" r="M500"/>
      <c s="8" r="N500"/>
      <c s="8" r="O500"/>
      <c s="8" r="P500"/>
      <c s="8" r="Q500"/>
      <c s="8" r="R500"/>
      <c s="8" r="S500"/>
      <c s="8" r="T500"/>
      <c s="8" r="U500"/>
      <c s="8" r="V500"/>
      <c s="8" r="W500"/>
      <c s="8" r="X500"/>
      <c s="8" r="Y500"/>
      <c s="8" r="Z500"/>
      <c s="8" r="AA500"/>
    </row>
    <row r="501">
      <c t="s" s="7" r="A501">
        <v>1754</v>
      </c>
      <c t="s" s="7" r="B501">
        <v>1755</v>
      </c>
      <c t="s" s="7" r="C501">
        <v>1756</v>
      </c>
      <c s="8" r="D501"/>
      <c s="8" r="E501"/>
      <c s="8" r="F501"/>
      <c s="8" r="G501"/>
      <c s="8" r="H501"/>
      <c s="8" r="I501"/>
      <c s="8" r="J501"/>
      <c s="8" r="K501"/>
      <c s="8" r="L501"/>
      <c s="8" r="M501"/>
      <c s="8" r="N501"/>
      <c s="8" r="O501"/>
      <c s="8" r="P501"/>
      <c s="8" r="Q501"/>
      <c s="8" r="R501"/>
      <c s="8" r="S501"/>
      <c s="8" r="T501"/>
      <c s="8" r="U501"/>
      <c s="8" r="V501"/>
      <c s="8" r="W501"/>
      <c s="8" r="X501"/>
      <c s="8" r="Y501"/>
      <c s="8" r="Z501"/>
      <c s="8" r="AA501"/>
    </row>
    <row r="502">
      <c t="s" s="7" r="A502">
        <v>1757</v>
      </c>
      <c t="s" s="7" r="B502">
        <v>1758</v>
      </c>
      <c t="s" s="7" r="C502">
        <v>1759</v>
      </c>
      <c s="8" r="D502"/>
      <c s="8" r="E502"/>
      <c s="8" r="F502"/>
      <c s="8" r="G502"/>
      <c s="8" r="H502"/>
      <c s="8" r="I502"/>
      <c s="8" r="J502"/>
      <c s="8" r="K502"/>
      <c s="8" r="L502"/>
      <c s="8" r="M502"/>
      <c s="8" r="N502"/>
      <c s="8" r="O502"/>
      <c s="8" r="P502"/>
      <c s="8" r="Q502"/>
      <c s="8" r="R502"/>
      <c s="8" r="S502"/>
      <c s="8" r="T502"/>
      <c s="8" r="U502"/>
      <c s="8" r="V502"/>
      <c s="8" r="W502"/>
      <c s="8" r="X502"/>
      <c s="8" r="Y502"/>
      <c s="8" r="Z502"/>
      <c s="8" r="AA502"/>
    </row>
    <row r="503">
      <c t="s" s="7" r="A503">
        <v>1760</v>
      </c>
      <c t="s" s="7" r="B503">
        <v>1761</v>
      </c>
      <c t="s" s="7" r="C503">
        <v>1762</v>
      </c>
      <c s="8" r="D503"/>
      <c s="8" r="E503"/>
      <c s="8" r="F503"/>
      <c s="8" r="G503"/>
      <c s="8" r="H503"/>
      <c s="8" r="I503"/>
      <c s="8" r="J503"/>
      <c s="8" r="K503"/>
      <c s="8" r="L503"/>
      <c s="8" r="M503"/>
      <c s="8" r="N503"/>
      <c s="8" r="O503"/>
      <c s="8" r="P503"/>
      <c s="8" r="Q503"/>
      <c s="8" r="R503"/>
      <c s="8" r="S503"/>
      <c s="8" r="T503"/>
      <c s="8" r="U503"/>
      <c s="8" r="V503"/>
      <c s="8" r="W503"/>
      <c s="8" r="X503"/>
      <c s="8" r="Y503"/>
      <c s="8" r="Z503"/>
      <c s="8" r="AA503"/>
    </row>
    <row r="504">
      <c t="s" s="7" r="A504">
        <v>1763</v>
      </c>
      <c t="s" s="7" r="B504">
        <v>1764</v>
      </c>
      <c t="s" s="7" r="C504">
        <v>1765</v>
      </c>
      <c s="8" r="D504"/>
      <c s="8" r="E504"/>
      <c s="8" r="F504"/>
      <c s="8" r="G504"/>
      <c s="8" r="H504"/>
      <c s="8" r="I504"/>
      <c s="8" r="J504"/>
      <c s="8" r="K504"/>
      <c s="8" r="L504"/>
      <c s="8" r="M504"/>
      <c s="8" r="N504"/>
      <c s="8" r="O504"/>
      <c s="8" r="P504"/>
      <c s="8" r="Q504"/>
      <c s="8" r="R504"/>
      <c s="8" r="S504"/>
      <c s="8" r="T504"/>
      <c s="8" r="U504"/>
      <c s="8" r="V504"/>
      <c s="8" r="W504"/>
      <c s="8" r="X504"/>
      <c s="8" r="Y504"/>
      <c s="8" r="Z504"/>
      <c s="8" r="AA504"/>
    </row>
    <row r="505">
      <c t="s" s="7" r="A505">
        <v>1766</v>
      </c>
      <c t="s" s="7" r="B505">
        <v>1767</v>
      </c>
      <c t="s" s="7" r="C505">
        <v>1768</v>
      </c>
      <c t="s" s="7" r="D505">
        <v>1769</v>
      </c>
      <c t="str" s="9" r="E505">
        <f>HYPERLINK("https://twitter.com/Cullensaidthis","@CullenSaidThis")</f>
        <v>@CullenSaidThis</v>
      </c>
      <c t="str" s="9" r="F505">
        <f>HYPERLINK("http://instagram.com/cullensaidthis/","@CullenSaidThis")</f>
        <v>@CullenSaidThis</v>
      </c>
      <c s="8" r="G505"/>
      <c t="s" s="7" r="H505">
        <v>1770</v>
      </c>
      <c s="8" r="I505"/>
      <c s="8" r="J505"/>
      <c s="8" r="K505"/>
      <c s="8" r="L505"/>
      <c s="8" r="M505"/>
      <c s="8" r="N505"/>
      <c s="8" r="O505"/>
      <c s="8" r="P505"/>
      <c s="8" r="Q505"/>
      <c s="8" r="R505"/>
      <c s="8" r="S505"/>
      <c s="8" r="T505"/>
      <c s="8" r="U505"/>
      <c s="8" r="V505"/>
      <c s="8" r="W505"/>
      <c s="8" r="X505"/>
      <c s="8" r="Y505"/>
      <c s="8" r="Z505"/>
      <c s="8" r="AA505"/>
    </row>
    <row r="506">
      <c t="s" s="7" r="A506">
        <v>1771</v>
      </c>
      <c t="s" s="7" r="B506">
        <v>1772</v>
      </c>
      <c t="s" s="7" r="C506">
        <v>1773</v>
      </c>
      <c s="8" r="D506"/>
      <c s="8" r="E506"/>
      <c s="8" r="F506"/>
      <c s="8" r="G506"/>
      <c s="8" r="H506"/>
      <c s="8" r="I506"/>
      <c s="8" r="J506"/>
      <c s="8" r="K506"/>
      <c s="8" r="L506"/>
      <c s="8" r="M506"/>
      <c s="8" r="N506"/>
      <c s="8" r="O506"/>
      <c s="8" r="P506"/>
      <c s="8" r="Q506"/>
      <c s="8" r="R506"/>
      <c s="8" r="S506"/>
      <c s="8" r="T506"/>
      <c s="8" r="U506"/>
      <c s="8" r="V506"/>
      <c s="8" r="W506"/>
      <c s="8" r="X506"/>
      <c s="8" r="Y506"/>
      <c s="8" r="Z506"/>
      <c s="8" r="AA506"/>
    </row>
    <row r="507">
      <c t="s" s="7" r="A507">
        <v>1774</v>
      </c>
      <c t="s" s="7" r="B507">
        <v>1775</v>
      </c>
      <c t="s" s="7" r="C507">
        <v>1776</v>
      </c>
      <c s="8" r="D507"/>
      <c s="8" r="E507"/>
      <c s="8" r="F507"/>
      <c s="8" r="G507"/>
      <c s="8" r="H507"/>
      <c s="8" r="I507"/>
      <c s="8" r="J507"/>
      <c s="8" r="K507"/>
      <c s="8" r="L507"/>
      <c s="8" r="M507"/>
      <c s="8" r="N507"/>
      <c s="8" r="O507"/>
      <c s="8" r="P507"/>
      <c s="8" r="Q507"/>
      <c s="8" r="R507"/>
      <c s="8" r="S507"/>
      <c s="8" r="T507"/>
      <c s="8" r="U507"/>
      <c s="8" r="V507"/>
      <c s="8" r="W507"/>
      <c s="8" r="X507"/>
      <c s="8" r="Y507"/>
      <c s="8" r="Z507"/>
      <c s="8" r="AA507"/>
    </row>
    <row r="508">
      <c t="s" s="7" r="A508">
        <v>1777</v>
      </c>
      <c t="s" s="7" r="B508">
        <v>1778</v>
      </c>
      <c t="s" s="7" r="C508">
        <v>1779</v>
      </c>
      <c s="8" r="D508"/>
      <c s="8" r="E508"/>
      <c s="8" r="F508"/>
      <c s="8" r="G508"/>
      <c s="8" r="H508"/>
      <c s="8" r="I508"/>
      <c s="8" r="J508"/>
      <c s="8" r="K508"/>
      <c s="8" r="L508"/>
      <c s="8" r="M508"/>
      <c s="8" r="N508"/>
      <c s="8" r="O508"/>
      <c s="8" r="P508"/>
      <c s="8" r="Q508"/>
      <c s="8" r="R508"/>
      <c s="8" r="S508"/>
      <c s="8" r="T508"/>
      <c s="8" r="U508"/>
      <c s="8" r="V508"/>
      <c s="8" r="W508"/>
      <c s="8" r="X508"/>
      <c s="8" r="Y508"/>
      <c s="8" r="Z508"/>
      <c s="8" r="AA508"/>
    </row>
    <row r="509">
      <c t="s" s="7" r="A509">
        <v>1780</v>
      </c>
      <c t="s" s="7" r="B509">
        <v>1781</v>
      </c>
      <c t="s" s="7" r="C509">
        <v>1782</v>
      </c>
      <c s="8" r="D509"/>
      <c s="8" r="E509"/>
      <c s="8" r="F509"/>
      <c s="8" r="G509"/>
      <c s="8" r="H509"/>
      <c s="8" r="I509"/>
      <c s="8" r="J509"/>
      <c s="8" r="K509"/>
      <c s="8" r="L509"/>
      <c s="8" r="M509"/>
      <c s="8" r="N509"/>
      <c s="8" r="O509"/>
      <c s="8" r="P509"/>
      <c s="8" r="Q509"/>
      <c s="8" r="R509"/>
      <c s="8" r="S509"/>
      <c s="8" r="T509"/>
      <c s="8" r="U509"/>
      <c s="8" r="V509"/>
      <c s="8" r="W509"/>
      <c s="8" r="X509"/>
      <c s="8" r="Y509"/>
      <c s="8" r="Z509"/>
      <c s="8" r="AA509"/>
    </row>
    <row r="510">
      <c t="s" s="7" r="A510">
        <v>1783</v>
      </c>
      <c t="s" s="7" r="B510">
        <v>1784</v>
      </c>
      <c t="s" s="7" r="C510">
        <v>1785</v>
      </c>
      <c s="8" r="D510"/>
      <c s="8" r="E510"/>
      <c s="8" r="F510"/>
      <c s="8" r="G510"/>
      <c s="8" r="H510"/>
      <c s="8" r="I510"/>
      <c s="8" r="J510"/>
      <c s="8" r="K510"/>
      <c s="8" r="L510"/>
      <c s="8" r="M510"/>
      <c s="8" r="N510"/>
      <c s="8" r="O510"/>
      <c s="8" r="P510"/>
      <c s="8" r="Q510"/>
      <c s="8" r="R510"/>
      <c s="8" r="S510"/>
      <c s="8" r="T510"/>
      <c s="8" r="U510"/>
      <c s="8" r="V510"/>
      <c s="8" r="W510"/>
      <c s="8" r="X510"/>
      <c s="8" r="Y510"/>
      <c s="8" r="Z510"/>
      <c s="8" r="AA510"/>
    </row>
    <row r="511">
      <c t="s" s="7" r="A511">
        <v>1786</v>
      </c>
      <c t="s" s="7" r="B511">
        <v>1787</v>
      </c>
      <c t="s" s="7" r="C511">
        <v>1788</v>
      </c>
      <c t="s" s="7" r="D511">
        <v>1789</v>
      </c>
      <c t="str" s="9" r="E511">
        <f>HYPERLINK("https://twitter.com/bombsnuffer","@bombsnuffer")</f>
        <v>@bombsnuffer</v>
      </c>
      <c t="str" s="9" r="F511">
        <f>HYPERLINK("http://instagram.com/zachzachzach_","zachzachzach_")</f>
        <v>zachzachzach_</v>
      </c>
      <c s="8" r="G511"/>
      <c s="8" r="H511"/>
      <c s="8" r="I511"/>
      <c s="8" r="J511"/>
      <c s="8" r="K511"/>
      <c s="8" r="L511"/>
      <c s="8" r="M511"/>
      <c s="8" r="N511"/>
      <c s="8" r="O511"/>
      <c s="8" r="P511"/>
      <c s="8" r="Q511"/>
      <c s="8" r="R511"/>
      <c s="8" r="S511"/>
      <c s="8" r="T511"/>
      <c s="8" r="U511"/>
      <c s="8" r="V511"/>
      <c s="8" r="W511"/>
      <c s="8" r="X511"/>
      <c s="8" r="Y511"/>
      <c s="8" r="Z511"/>
      <c s="8" r="AA511"/>
    </row>
    <row r="512">
      <c t="s" s="7" r="A512">
        <v>1790</v>
      </c>
      <c t="s" s="7" r="B512">
        <v>1791</v>
      </c>
      <c t="s" s="7" r="C512">
        <v>1792</v>
      </c>
      <c s="8" r="D512"/>
      <c s="8" r="E512"/>
      <c s="8" r="F512"/>
      <c s="8" r="G512"/>
      <c s="8" r="H512"/>
      <c s="8" r="I512"/>
      <c s="8" r="J512"/>
      <c s="8" r="K512"/>
      <c s="8" r="L512"/>
      <c s="8" r="M512"/>
      <c s="8" r="N512"/>
      <c s="8" r="O512"/>
      <c s="8" r="P512"/>
      <c s="8" r="Q512"/>
      <c s="8" r="R512"/>
      <c s="8" r="S512"/>
      <c s="8" r="T512"/>
      <c s="8" r="U512"/>
      <c s="8" r="V512"/>
      <c s="8" r="W512"/>
      <c s="8" r="X512"/>
      <c s="8" r="Y512"/>
      <c s="8" r="Z512"/>
      <c s="8" r="AA512"/>
    </row>
    <row r="513">
      <c t="s" s="7" r="A513">
        <v>1793</v>
      </c>
      <c t="s" s="7" r="B513">
        <v>1794</v>
      </c>
      <c s="8" r="C513"/>
      <c s="8" r="D513"/>
      <c s="8" r="E513"/>
      <c s="8" r="F513"/>
      <c s="8" r="G513"/>
      <c s="8" r="H513"/>
      <c s="8" r="I513"/>
      <c s="8" r="J513"/>
      <c s="8" r="K513"/>
      <c s="8" r="L513"/>
      <c s="8" r="M513"/>
      <c s="8" r="N513"/>
      <c s="8" r="O513"/>
      <c s="8" r="P513"/>
      <c s="8" r="Q513"/>
      <c s="8" r="R513"/>
      <c s="8" r="S513"/>
      <c s="8" r="T513"/>
      <c s="8" r="U513"/>
      <c s="8" r="V513"/>
      <c s="8" r="W513"/>
      <c s="8" r="X513"/>
      <c s="8" r="Y513"/>
      <c s="8" r="Z513"/>
      <c s="8" r="AA513"/>
    </row>
    <row r="514">
      <c t="s" s="7" r="A514">
        <v>1795</v>
      </c>
      <c t="s" s="7" r="B514">
        <v>1796</v>
      </c>
      <c t="s" s="7" r="C514">
        <v>1797</v>
      </c>
      <c t="s" s="7" r="D514">
        <v>1798</v>
      </c>
      <c s="8" r="E514"/>
      <c t="str" s="9" r="F514">
        <f>HYPERLINK("http://instagram.com/mrjinkzd","@mrjinkzd")</f>
        <v>@mrjinkzd</v>
      </c>
      <c s="8" r="G514"/>
      <c s="8" r="H514"/>
      <c s="8" r="I514"/>
      <c s="8" r="J514"/>
      <c s="8" r="K514"/>
      <c s="8" r="L514"/>
      <c s="8" r="M514"/>
      <c s="8" r="N514"/>
      <c s="8" r="O514"/>
      <c s="8" r="P514"/>
      <c s="8" r="Q514"/>
      <c s="8" r="R514"/>
      <c s="8" r="S514"/>
      <c s="8" r="T514"/>
      <c s="8" r="U514"/>
      <c s="8" r="V514"/>
      <c s="8" r="W514"/>
      <c s="8" r="X514"/>
      <c s="8" r="Y514"/>
      <c s="8" r="Z514"/>
      <c s="8" r="AA514"/>
    </row>
    <row r="515">
      <c t="s" s="7" r="A515">
        <v>1799</v>
      </c>
      <c t="s" s="7" r="B515">
        <v>1800</v>
      </c>
      <c t="s" s="7" r="C515">
        <v>1801</v>
      </c>
      <c s="8" r="D515"/>
      <c s="8" r="E515"/>
      <c s="8" r="F515"/>
      <c s="8" r="G515"/>
      <c s="8" r="H515"/>
      <c s="8" r="I515"/>
      <c s="8" r="J515"/>
      <c s="8" r="K515"/>
      <c s="8" r="L515"/>
      <c s="8" r="M515"/>
      <c s="8" r="N515"/>
      <c s="8" r="O515"/>
      <c s="8" r="P515"/>
      <c s="8" r="Q515"/>
      <c s="8" r="R515"/>
      <c s="8" r="S515"/>
      <c s="8" r="T515"/>
      <c s="8" r="U515"/>
      <c s="8" r="V515"/>
      <c s="8" r="W515"/>
      <c s="8" r="X515"/>
      <c s="8" r="Y515"/>
      <c s="8" r="Z515"/>
      <c s="8" r="AA515"/>
    </row>
    <row r="516">
      <c t="s" s="7" r="A516">
        <v>1802</v>
      </c>
      <c t="s" s="7" r="B516">
        <v>1803</v>
      </c>
      <c t="s" s="7" r="C516">
        <v>1804</v>
      </c>
      <c s="8" r="D516"/>
      <c s="8" r="E516"/>
      <c s="8" r="F516"/>
      <c s="8" r="G516"/>
      <c s="8" r="H516"/>
      <c s="8" r="I516"/>
      <c s="8" r="J516"/>
      <c s="8" r="K516"/>
      <c s="8" r="L516"/>
      <c s="8" r="M516"/>
      <c s="8" r="N516"/>
      <c s="8" r="O516"/>
      <c s="8" r="P516"/>
      <c s="8" r="Q516"/>
      <c s="8" r="R516"/>
      <c s="8" r="S516"/>
      <c s="8" r="T516"/>
      <c s="8" r="U516"/>
      <c s="8" r="V516"/>
      <c s="8" r="W516"/>
      <c s="8" r="X516"/>
      <c s="8" r="Y516"/>
      <c s="8" r="Z516"/>
      <c s="8" r="AA516"/>
    </row>
    <row r="517">
      <c t="s" s="7" r="A517">
        <v>1805</v>
      </c>
      <c t="s" s="7" r="B517">
        <v>1806</v>
      </c>
      <c t="s" s="7" r="C517">
        <v>1807</v>
      </c>
      <c s="8" r="D517"/>
      <c s="8" r="E517"/>
      <c s="8" r="F517"/>
      <c s="8" r="G517"/>
      <c s="8" r="H517"/>
      <c s="8" r="I517"/>
      <c s="8" r="J517"/>
      <c s="8" r="K517"/>
      <c s="8" r="L517"/>
      <c s="8" r="M517"/>
      <c s="8" r="N517"/>
      <c s="8" r="O517"/>
      <c s="8" r="P517"/>
      <c s="8" r="Q517"/>
      <c s="8" r="R517"/>
      <c s="8" r="S517"/>
      <c s="8" r="T517"/>
      <c s="8" r="U517"/>
      <c s="8" r="V517"/>
      <c s="8" r="W517"/>
      <c s="8" r="X517"/>
      <c s="8" r="Y517"/>
      <c s="8" r="Z517"/>
      <c s="8" r="AA517"/>
    </row>
    <row r="518">
      <c t="s" s="7" r="A518">
        <v>1808</v>
      </c>
      <c t="s" s="7" r="B518">
        <v>1809</v>
      </c>
      <c t="s" s="7" r="C518">
        <v>1810</v>
      </c>
      <c s="8" r="D518"/>
      <c s="8" r="E518"/>
      <c s="8" r="F518"/>
      <c s="8" r="G518"/>
      <c s="8" r="H518"/>
      <c s="8" r="I518"/>
      <c s="8" r="J518"/>
      <c s="8" r="K518"/>
      <c s="8" r="L518"/>
      <c s="8" r="M518"/>
      <c s="8" r="N518"/>
      <c s="8" r="O518"/>
      <c s="8" r="P518"/>
      <c s="8" r="Q518"/>
      <c s="8" r="R518"/>
      <c s="8" r="S518"/>
      <c s="8" r="T518"/>
      <c s="8" r="U518"/>
      <c s="8" r="V518"/>
      <c s="8" r="W518"/>
      <c s="8" r="X518"/>
      <c s="8" r="Y518"/>
      <c s="8" r="Z518"/>
      <c s="8" r="AA518"/>
    </row>
    <row r="519">
      <c t="s" s="7" r="A519">
        <v>1811</v>
      </c>
      <c t="s" s="7" r="B519">
        <v>1812</v>
      </c>
      <c t="s" s="7" r="C519">
        <v>1813</v>
      </c>
      <c t="s" s="7" r="D519">
        <v>1814</v>
      </c>
      <c t="str" s="9" r="E519">
        <f>HYPERLINK("https://twitter.com/blasko1313","@Blasko1313")</f>
        <v>@Blasko1313</v>
      </c>
      <c t="str" s="9" r="F519">
        <f>HYPERLINK("http://instagram.com/blasko1313","@Blasko1313")</f>
        <v>@Blasko1313</v>
      </c>
      <c s="8" r="G519"/>
      <c t="s" s="7" r="H519">
        <v>1815</v>
      </c>
      <c s="8" r="I519"/>
      <c s="8" r="J519"/>
      <c s="8" r="K519"/>
      <c s="8" r="L519"/>
      <c s="8" r="M519"/>
      <c s="8" r="N519"/>
      <c s="8" r="O519"/>
      <c s="8" r="P519"/>
      <c s="8" r="Q519"/>
      <c s="8" r="R519"/>
      <c s="8" r="S519"/>
      <c s="8" r="T519"/>
      <c s="8" r="U519"/>
      <c s="8" r="V519"/>
      <c s="8" r="W519"/>
      <c s="8" r="X519"/>
      <c s="8" r="Y519"/>
      <c s="8" r="Z519"/>
      <c s="8" r="AA519"/>
    </row>
    <row r="520">
      <c t="s" s="7" r="A520">
        <v>1816</v>
      </c>
      <c t="s" s="7" r="B520">
        <v>1817</v>
      </c>
      <c t="s" s="7" r="C520">
        <v>1818</v>
      </c>
      <c s="8" r="D520"/>
      <c s="8" r="E520"/>
      <c s="8" r="F520"/>
      <c s="8" r="G520"/>
      <c s="8" r="H520"/>
      <c s="8" r="I520"/>
      <c s="8" r="J520"/>
      <c s="8" r="K520"/>
      <c s="8" r="L520"/>
      <c s="8" r="M520"/>
      <c s="8" r="N520"/>
      <c s="8" r="O520"/>
      <c s="8" r="P520"/>
      <c s="8" r="Q520"/>
      <c s="8" r="R520"/>
      <c s="8" r="S520"/>
      <c s="8" r="T520"/>
      <c s="8" r="U520"/>
      <c s="8" r="V520"/>
      <c s="8" r="W520"/>
      <c s="8" r="X520"/>
      <c s="8" r="Y520"/>
      <c s="8" r="Z520"/>
      <c s="8" r="AA520"/>
    </row>
    <row r="521">
      <c t="s" s="7" r="A521">
        <v>1819</v>
      </c>
      <c t="s" s="7" r="B521">
        <v>1820</v>
      </c>
      <c t="s" s="7" r="C521">
        <v>1821</v>
      </c>
      <c s="8" r="D521"/>
      <c s="8" r="E521"/>
      <c s="8" r="F521"/>
      <c s="8" r="G521"/>
      <c s="8" r="H521"/>
      <c s="8" r="I521"/>
      <c s="8" r="J521"/>
      <c s="8" r="K521"/>
      <c s="8" r="L521"/>
      <c s="8" r="M521"/>
      <c s="8" r="N521"/>
      <c s="8" r="O521"/>
      <c s="8" r="P521"/>
      <c s="8" r="Q521"/>
      <c s="8" r="R521"/>
      <c s="8" r="S521"/>
      <c s="8" r="T521"/>
      <c s="8" r="U521"/>
      <c s="8" r="V521"/>
      <c s="8" r="W521"/>
      <c s="8" r="X521"/>
      <c s="8" r="Y521"/>
      <c s="8" r="Z521"/>
      <c s="8" r="AA521"/>
    </row>
    <row r="522">
      <c t="s" s="7" r="A522">
        <v>1822</v>
      </c>
      <c t="s" s="7" r="B522">
        <v>1823</v>
      </c>
      <c t="s" s="7" r="C522">
        <v>1824</v>
      </c>
      <c s="8" r="D522"/>
      <c s="8" r="E522"/>
      <c s="8" r="F522"/>
      <c s="8" r="G522"/>
      <c s="8" r="H522"/>
      <c s="8" r="I522"/>
      <c s="8" r="J522"/>
      <c s="8" r="K522"/>
      <c s="8" r="L522"/>
      <c s="8" r="M522"/>
      <c s="8" r="N522"/>
      <c s="8" r="O522"/>
      <c s="8" r="P522"/>
      <c s="8" r="Q522"/>
      <c s="8" r="R522"/>
      <c s="8" r="S522"/>
      <c s="8" r="T522"/>
      <c s="8" r="U522"/>
      <c s="8" r="V522"/>
      <c s="8" r="W522"/>
      <c s="8" r="X522"/>
      <c s="8" r="Y522"/>
      <c s="8" r="Z522"/>
      <c s="8" r="AA522"/>
    </row>
    <row r="523">
      <c t="s" s="7" r="A523">
        <v>1825</v>
      </c>
      <c t="s" s="7" r="B523">
        <v>1826</v>
      </c>
      <c t="s" s="7" r="C523">
        <v>1827</v>
      </c>
      <c s="8" r="D523"/>
      <c s="8" r="E523"/>
      <c s="8" r="F523"/>
      <c s="8" r="G523"/>
      <c s="8" r="H523"/>
      <c s="8" r="I523"/>
      <c s="8" r="J523"/>
      <c s="8" r="K523"/>
      <c s="8" r="L523"/>
      <c s="8" r="M523"/>
      <c s="8" r="N523"/>
      <c s="8" r="O523"/>
      <c s="8" r="P523"/>
      <c s="8" r="Q523"/>
      <c s="8" r="R523"/>
      <c s="8" r="S523"/>
      <c s="8" r="T523"/>
      <c s="8" r="U523"/>
      <c s="8" r="V523"/>
      <c s="8" r="W523"/>
      <c s="8" r="X523"/>
      <c s="8" r="Y523"/>
      <c s="8" r="Z523"/>
      <c s="8" r="AA523"/>
    </row>
    <row r="524">
      <c t="s" s="7" r="A524">
        <v>1828</v>
      </c>
      <c t="s" s="7" r="B524">
        <v>1829</v>
      </c>
      <c t="s" s="7" r="C524">
        <v>1830</v>
      </c>
      <c s="8" r="D524"/>
      <c s="8" r="E524"/>
      <c s="8" r="F524"/>
      <c s="8" r="G524"/>
      <c s="8" r="H524"/>
      <c s="8" r="I524"/>
      <c s="8" r="J524"/>
      <c s="8" r="K524"/>
      <c s="8" r="L524"/>
      <c s="8" r="M524"/>
      <c s="8" r="N524"/>
      <c s="8" r="O524"/>
      <c s="8" r="P524"/>
      <c s="8" r="Q524"/>
      <c s="8" r="R524"/>
      <c s="8" r="S524"/>
      <c s="8" r="T524"/>
      <c s="8" r="U524"/>
      <c s="8" r="V524"/>
      <c s="8" r="W524"/>
      <c s="8" r="X524"/>
      <c s="8" r="Y524"/>
      <c s="8" r="Z524"/>
      <c s="8" r="AA524"/>
    </row>
    <row r="525">
      <c t="s" s="7" r="A525">
        <v>1831</v>
      </c>
      <c t="s" s="7" r="B525">
        <v>1832</v>
      </c>
      <c t="s" s="7" r="C525">
        <v>1833</v>
      </c>
      <c s="8" r="D525"/>
      <c s="8" r="E525"/>
      <c s="8" r="F525"/>
      <c s="8" r="G525"/>
      <c s="8" r="H525"/>
      <c s="8" r="I525"/>
      <c s="8" r="J525"/>
      <c s="8" r="K525"/>
      <c s="8" r="L525"/>
      <c s="8" r="M525"/>
      <c s="8" r="N525"/>
      <c s="8" r="O525"/>
      <c s="8" r="P525"/>
      <c s="8" r="Q525"/>
      <c s="8" r="R525"/>
      <c s="8" r="S525"/>
      <c s="8" r="T525"/>
      <c s="8" r="U525"/>
      <c s="8" r="V525"/>
      <c s="8" r="W525"/>
      <c s="8" r="X525"/>
      <c s="8" r="Y525"/>
      <c s="8" r="Z525"/>
      <c s="8" r="AA525"/>
    </row>
    <row r="526">
      <c t="s" s="7" r="A526">
        <v>1834</v>
      </c>
      <c t="s" s="7" r="B526">
        <v>1835</v>
      </c>
      <c t="s" s="7" r="C526">
        <v>1836</v>
      </c>
      <c s="8" r="D526"/>
      <c s="8" r="E526"/>
      <c s="8" r="F526"/>
      <c s="8" r="G526"/>
      <c s="8" r="H526"/>
      <c s="8" r="I526"/>
      <c s="8" r="J526"/>
      <c s="8" r="K526"/>
      <c s="8" r="L526"/>
      <c s="8" r="M526"/>
      <c s="8" r="N526"/>
      <c s="8" r="O526"/>
      <c s="8" r="P526"/>
      <c s="8" r="Q526"/>
      <c s="8" r="R526"/>
      <c s="8" r="S526"/>
      <c s="8" r="T526"/>
      <c s="8" r="U526"/>
      <c s="8" r="V526"/>
      <c s="8" r="W526"/>
      <c s="8" r="X526"/>
      <c s="8" r="Y526"/>
      <c s="8" r="Z526"/>
      <c s="8" r="AA526"/>
    </row>
    <row r="527">
      <c t="s" s="7" r="A527">
        <v>1837</v>
      </c>
      <c t="s" s="7" r="B527">
        <v>1838</v>
      </c>
      <c t="s" s="7" r="C527">
        <v>1839</v>
      </c>
      <c s="8" r="D527"/>
      <c s="8" r="E527"/>
      <c s="8" r="F527"/>
      <c s="8" r="G527"/>
      <c s="8" r="H527"/>
      <c s="8" r="I527"/>
      <c s="8" r="J527"/>
      <c s="8" r="K527"/>
      <c s="8" r="L527"/>
      <c s="8" r="M527"/>
      <c s="8" r="N527"/>
      <c s="8" r="O527"/>
      <c s="8" r="P527"/>
      <c s="8" r="Q527"/>
      <c s="8" r="R527"/>
      <c s="8" r="S527"/>
      <c s="8" r="T527"/>
      <c s="8" r="U527"/>
      <c s="8" r="V527"/>
      <c s="8" r="W527"/>
      <c s="8" r="X527"/>
      <c s="8" r="Y527"/>
      <c s="8" r="Z527"/>
      <c s="8" r="AA527"/>
    </row>
    <row r="528">
      <c t="s" s="7" r="A528">
        <v>1840</v>
      </c>
      <c t="s" s="7" r="B528">
        <v>1841</v>
      </c>
      <c t="s" s="7" r="C528">
        <v>1842</v>
      </c>
      <c s="8" r="D528"/>
      <c s="8" r="E528"/>
      <c s="8" r="F528"/>
      <c s="8" r="G528"/>
      <c s="8" r="H528"/>
      <c s="8" r="I528"/>
      <c s="8" r="J528"/>
      <c s="8" r="K528"/>
      <c s="8" r="L528"/>
      <c s="8" r="M528"/>
      <c s="8" r="N528"/>
      <c s="8" r="O528"/>
      <c s="8" r="P528"/>
      <c s="8" r="Q528"/>
      <c s="8" r="R528"/>
      <c s="8" r="S528"/>
      <c s="8" r="T528"/>
      <c s="8" r="U528"/>
      <c s="8" r="V528"/>
      <c s="8" r="W528"/>
      <c s="8" r="X528"/>
      <c s="8" r="Y528"/>
      <c s="8" r="Z528"/>
      <c s="8" r="AA528"/>
    </row>
    <row r="529">
      <c t="s" s="7" r="A529">
        <v>1843</v>
      </c>
      <c t="s" s="7" r="B529">
        <v>1844</v>
      </c>
      <c t="s" s="7" r="C529">
        <v>1845</v>
      </c>
      <c s="8" r="D529"/>
      <c s="8" r="E529"/>
      <c s="8" r="F529"/>
      <c s="8" r="G529"/>
      <c s="8" r="H529"/>
      <c s="8" r="I529"/>
      <c s="8" r="J529"/>
      <c s="8" r="K529"/>
      <c s="8" r="L529"/>
      <c s="8" r="M529"/>
      <c s="8" r="N529"/>
      <c s="8" r="O529"/>
      <c s="8" r="P529"/>
      <c s="8" r="Q529"/>
      <c s="8" r="R529"/>
      <c s="8" r="S529"/>
      <c s="8" r="T529"/>
      <c s="8" r="U529"/>
      <c s="8" r="V529"/>
      <c s="8" r="W529"/>
      <c s="8" r="X529"/>
      <c s="8" r="Y529"/>
      <c s="8" r="Z529"/>
      <c s="8" r="AA529"/>
    </row>
    <row r="530">
      <c t="s" s="7" r="A530">
        <v>1846</v>
      </c>
      <c t="s" s="7" r="B530">
        <v>1847</v>
      </c>
      <c t="s" s="7" r="C530">
        <v>1848</v>
      </c>
      <c t="s" s="7" r="D530">
        <v>1849</v>
      </c>
      <c s="8" r="E530"/>
      <c t="str" s="9" r="F530">
        <f>HYPERLINK("http://instagram.com/truechief77","@truechief77")</f>
        <v>@truechief77</v>
      </c>
      <c s="8" r="G530"/>
      <c s="8" r="H530"/>
      <c s="8" r="I530"/>
      <c s="8" r="J530"/>
      <c s="8" r="K530"/>
      <c s="8" r="L530"/>
      <c s="8" r="M530"/>
      <c s="8" r="N530"/>
      <c s="8" r="O530"/>
      <c s="8" r="P530"/>
      <c s="8" r="Q530"/>
      <c s="8" r="R530"/>
      <c s="8" r="S530"/>
      <c s="8" r="T530"/>
      <c s="8" r="U530"/>
      <c s="8" r="V530"/>
      <c s="8" r="W530"/>
      <c s="8" r="X530"/>
      <c s="8" r="Y530"/>
      <c s="8" r="Z530"/>
      <c s="8" r="AA530"/>
    </row>
    <row r="531">
      <c t="s" s="7" r="A531">
        <v>1850</v>
      </c>
      <c t="s" s="7" r="B531">
        <v>1851</v>
      </c>
      <c t="s" s="7" r="C531">
        <v>1852</v>
      </c>
      <c t="s" s="7" r="D531">
        <v>1853</v>
      </c>
      <c t="str" s="9" r="E531">
        <f>HYPERLINK("https://twitter.com/queefleprecaun","@queefleprecaun")</f>
        <v>@queefleprecaun</v>
      </c>
      <c t="str" s="9" r="F531">
        <f>HYPERLINK("http://instagram.com/stephenmccr","@stephenmccr")</f>
        <v>@stephenmccr</v>
      </c>
      <c s="8" r="G531"/>
      <c s="8" r="H531"/>
      <c s="8" r="I531"/>
      <c s="8" r="J531"/>
      <c s="8" r="K531"/>
      <c s="8" r="L531"/>
      <c s="8" r="M531"/>
      <c s="8" r="N531"/>
      <c s="8" r="O531"/>
      <c s="8" r="P531"/>
      <c s="8" r="Q531"/>
      <c s="8" r="R531"/>
      <c s="8" r="S531"/>
      <c s="8" r="T531"/>
      <c s="8" r="U531"/>
      <c s="8" r="V531"/>
      <c s="8" r="W531"/>
      <c s="8" r="X531"/>
      <c s="8" r="Y531"/>
      <c s="8" r="Z531"/>
      <c s="8" r="AA531"/>
    </row>
    <row r="532">
      <c t="s" s="7" r="A532">
        <v>1854</v>
      </c>
      <c t="s" s="7" r="B532">
        <v>1855</v>
      </c>
      <c t="s" s="7" r="C532">
        <v>1856</v>
      </c>
      <c t="s" s="7" r="D532">
        <v>1857</v>
      </c>
      <c t="str" s="9" r="E532">
        <f>HYPERLINK("https://twitter.com/Sabotage70","@Sabotage70")</f>
        <v>@Sabotage70</v>
      </c>
      <c t="str" s="9" r="F532">
        <f>HYPERLINK("http://instagram.com/Sabotage70","@Sabotage70")</f>
        <v>@Sabotage70</v>
      </c>
      <c s="8" r="G532"/>
      <c s="8" r="H532"/>
      <c s="8" r="I532"/>
      <c s="8" r="J532"/>
      <c s="8" r="K532"/>
      <c s="8" r="L532"/>
      <c s="8" r="M532"/>
      <c s="8" r="N532"/>
      <c s="8" r="O532"/>
      <c s="8" r="P532"/>
      <c s="8" r="Q532"/>
      <c s="8" r="R532"/>
      <c s="8" r="S532"/>
      <c s="8" r="T532"/>
      <c s="8" r="U532"/>
      <c s="8" r="V532"/>
      <c s="8" r="W532"/>
      <c s="8" r="X532"/>
      <c s="8" r="Y532"/>
      <c s="8" r="Z532"/>
      <c s="8" r="AA532"/>
    </row>
    <row r="533">
      <c t="s" s="7" r="A533">
        <v>1858</v>
      </c>
      <c t="s" s="7" r="B533">
        <v>1859</v>
      </c>
      <c t="s" s="7" r="C533">
        <v>1860</v>
      </c>
      <c s="8" r="D533"/>
      <c s="8" r="E533"/>
      <c s="8" r="F533"/>
      <c s="8" r="G533"/>
      <c s="8" r="H533"/>
      <c s="8" r="I533"/>
      <c s="8" r="J533"/>
      <c s="8" r="K533"/>
      <c s="8" r="L533"/>
      <c s="8" r="M533"/>
      <c s="8" r="N533"/>
      <c s="8" r="O533"/>
      <c s="8" r="P533"/>
      <c s="8" r="Q533"/>
      <c s="8" r="R533"/>
      <c s="8" r="S533"/>
      <c s="8" r="T533"/>
      <c s="8" r="U533"/>
      <c s="8" r="V533"/>
      <c s="8" r="W533"/>
      <c s="8" r="X533"/>
      <c s="8" r="Y533"/>
      <c s="8" r="Z533"/>
      <c s="8" r="AA533"/>
    </row>
    <row r="534">
      <c t="s" s="7" r="A534">
        <v>1861</v>
      </c>
      <c t="s" s="7" r="B534">
        <v>1862</v>
      </c>
      <c t="s" s="7" r="C534">
        <v>1863</v>
      </c>
      <c s="8" r="D534"/>
      <c s="8" r="E534"/>
      <c s="8" r="F534"/>
      <c s="8" r="G534"/>
      <c s="8" r="H534"/>
      <c s="8" r="I534"/>
      <c s="8" r="J534"/>
      <c s="8" r="K534"/>
      <c s="8" r="L534"/>
      <c s="8" r="M534"/>
      <c s="8" r="N534"/>
      <c s="8" r="O534"/>
      <c s="8" r="P534"/>
      <c s="8" r="Q534"/>
      <c s="8" r="R534"/>
      <c s="8" r="S534"/>
      <c s="8" r="T534"/>
      <c s="8" r="U534"/>
      <c s="8" r="V534"/>
      <c s="8" r="W534"/>
      <c s="8" r="X534"/>
      <c s="8" r="Y534"/>
      <c s="8" r="Z534"/>
      <c s="8" r="AA534"/>
    </row>
    <row r="535">
      <c t="s" s="7" r="A535">
        <v>1864</v>
      </c>
      <c t="s" s="7" r="B535">
        <v>1865</v>
      </c>
      <c t="s" s="7" r="C535">
        <v>1866</v>
      </c>
      <c s="8" r="D535"/>
      <c s="8" r="E535"/>
      <c s="8" r="F535"/>
      <c s="8" r="G535"/>
      <c s="8" r="H535"/>
      <c s="8" r="I535"/>
      <c s="8" r="J535"/>
      <c s="8" r="K535"/>
      <c s="8" r="L535"/>
      <c s="8" r="M535"/>
      <c s="8" r="N535"/>
      <c s="8" r="O535"/>
      <c s="8" r="P535"/>
      <c s="8" r="Q535"/>
      <c s="8" r="R535"/>
      <c s="8" r="S535"/>
      <c s="8" r="T535"/>
      <c s="8" r="U535"/>
      <c s="8" r="V535"/>
      <c s="8" r="W535"/>
      <c s="8" r="X535"/>
      <c s="8" r="Y535"/>
      <c s="8" r="Z535"/>
      <c s="8" r="AA535"/>
    </row>
    <row r="536">
      <c t="s" s="7" r="A536">
        <v>1867</v>
      </c>
      <c t="s" s="7" r="B536">
        <v>1868</v>
      </c>
      <c t="s" s="7" r="C536">
        <v>1869</v>
      </c>
      <c s="8" r="D536"/>
      <c s="8" r="E536"/>
      <c s="8" r="F536"/>
      <c s="8" r="G536"/>
      <c s="8" r="H536"/>
      <c s="8" r="I536"/>
      <c s="8" r="J536"/>
      <c s="8" r="K536"/>
      <c s="8" r="L536"/>
      <c s="8" r="M536"/>
      <c s="8" r="N536"/>
      <c s="8" r="O536"/>
      <c s="8" r="P536"/>
      <c s="8" r="Q536"/>
      <c s="8" r="R536"/>
      <c s="8" r="S536"/>
      <c s="8" r="T536"/>
      <c s="8" r="U536"/>
      <c s="8" r="V536"/>
      <c s="8" r="W536"/>
      <c s="8" r="X536"/>
      <c s="8" r="Y536"/>
      <c s="8" r="Z536"/>
      <c s="8" r="AA536"/>
    </row>
    <row r="537">
      <c t="s" s="7" r="A537">
        <v>1870</v>
      </c>
      <c t="s" s="7" r="B537">
        <v>1871</v>
      </c>
      <c t="s" s="7" r="C537">
        <v>1872</v>
      </c>
      <c s="8" r="D537"/>
      <c s="8" r="E537"/>
      <c s="8" r="F537"/>
      <c s="8" r="G537"/>
      <c s="8" r="H537"/>
      <c s="8" r="I537"/>
      <c s="8" r="J537"/>
      <c s="8" r="K537"/>
      <c s="8" r="L537"/>
      <c s="8" r="M537"/>
      <c s="8" r="N537"/>
      <c s="8" r="O537"/>
      <c s="8" r="P537"/>
      <c s="8" r="Q537"/>
      <c s="8" r="R537"/>
      <c s="8" r="S537"/>
      <c s="8" r="T537"/>
      <c s="8" r="U537"/>
      <c s="8" r="V537"/>
      <c s="8" r="W537"/>
      <c s="8" r="X537"/>
      <c s="8" r="Y537"/>
      <c s="8" r="Z537"/>
      <c s="8" r="AA537"/>
    </row>
    <row r="538">
      <c t="s" s="7" r="A538">
        <v>1873</v>
      </c>
      <c t="s" s="7" r="B538">
        <v>1874</v>
      </c>
      <c t="s" s="7" r="C538">
        <v>1875</v>
      </c>
      <c s="8" r="D538"/>
      <c s="8" r="E538"/>
      <c s="8" r="F538"/>
      <c s="8" r="G538"/>
      <c s="8" r="H538"/>
      <c s="8" r="I538"/>
      <c s="8" r="J538"/>
      <c s="8" r="K538"/>
      <c s="8" r="L538"/>
      <c s="8" r="M538"/>
      <c s="8" r="N538"/>
      <c s="8" r="O538"/>
      <c s="8" r="P538"/>
      <c s="8" r="Q538"/>
      <c s="8" r="R538"/>
      <c s="8" r="S538"/>
      <c s="8" r="T538"/>
      <c s="8" r="U538"/>
      <c s="8" r="V538"/>
      <c s="8" r="W538"/>
      <c s="8" r="X538"/>
      <c s="8" r="Y538"/>
      <c s="8" r="Z538"/>
      <c s="8" r="AA538"/>
    </row>
    <row r="539">
      <c t="s" s="7" r="A539">
        <v>1876</v>
      </c>
      <c t="s" s="7" r="B539">
        <v>1877</v>
      </c>
      <c t="s" s="7" r="C539">
        <v>1878</v>
      </c>
      <c t="s" s="7" r="D539">
        <v>1879</v>
      </c>
      <c t="str" s="9" r="E539">
        <f>HYPERLINK("https://twitter.com/TheWoodswoman","@TheWoodswoman")</f>
        <v>@TheWoodswoman</v>
      </c>
      <c t="str" s="9" r="F539">
        <f>HYPERLINK("http://instagram.com/thewoodswoman","@TheWoodswoman")</f>
        <v>@TheWoodswoman</v>
      </c>
      <c t="s" s="7" r="G539">
        <v>1880</v>
      </c>
      <c t="s" s="7" r="H539">
        <v>1881</v>
      </c>
      <c s="8" r="I539"/>
      <c s="8" r="J539"/>
      <c s="8" r="K539"/>
      <c s="8" r="L539"/>
      <c s="8" r="M539"/>
      <c s="8" r="N539"/>
      <c s="8" r="O539"/>
      <c s="8" r="P539"/>
      <c s="8" r="Q539"/>
      <c s="8" r="R539"/>
      <c s="8" r="S539"/>
      <c s="8" r="T539"/>
      <c s="8" r="U539"/>
      <c s="8" r="V539"/>
      <c s="8" r="W539"/>
      <c s="8" r="X539"/>
      <c s="8" r="Y539"/>
      <c s="8" r="Z539"/>
      <c s="8" r="AA539"/>
    </row>
    <row r="540">
      <c t="s" s="7" r="A540">
        <v>1882</v>
      </c>
      <c t="s" s="7" r="B540">
        <v>1883</v>
      </c>
      <c t="s" s="7" r="C540">
        <v>1884</v>
      </c>
      <c t="s" s="7" r="D540">
        <v>1885</v>
      </c>
      <c t="str" s="9" r="E540">
        <f>HYPERLINK("https://twitter.com/J_Chappel","@J_Chappel")</f>
        <v>@J_Chappel</v>
      </c>
      <c t="str" s="9" r="F540">
        <f>HYPERLINK("http://instagram.com/wk_thomas_hayden_chappel","wk_thomas_hayden_chappel")</f>
        <v>wk_thomas_hayden_chappel</v>
      </c>
      <c t="s" s="7" r="G540">
        <v>1886</v>
      </c>
      <c t="s" s="7" r="H540">
        <v>1887</v>
      </c>
      <c s="8" r="I540"/>
      <c s="8" r="J540"/>
      <c s="8" r="K540"/>
      <c s="8" r="L540"/>
      <c s="8" r="M540"/>
      <c s="8" r="N540"/>
      <c s="8" r="O540"/>
      <c s="8" r="P540"/>
      <c s="8" r="Q540"/>
      <c s="8" r="R540"/>
      <c s="8" r="S540"/>
      <c s="8" r="T540"/>
      <c s="8" r="U540"/>
      <c s="8" r="V540"/>
      <c s="8" r="W540"/>
      <c s="8" r="X540"/>
      <c s="8" r="Y540"/>
      <c s="8" r="Z540"/>
      <c s="8" r="AA540"/>
    </row>
    <row r="541">
      <c t="s" s="7" r="A541">
        <v>1888</v>
      </c>
      <c t="s" s="7" r="B541">
        <v>1889</v>
      </c>
      <c t="s" s="7" r="C541">
        <v>1890</v>
      </c>
      <c t="s" s="7" r="D541">
        <v>1891</v>
      </c>
      <c t="str" s="9" r="E541">
        <f>HYPERLINK("https://twitter.com/cdika17","@cdika17")</f>
        <v>@cdika17</v>
      </c>
      <c s="8" r="F541"/>
      <c t="s" s="7" r="G541">
        <v>1892</v>
      </c>
      <c s="8" r="H541"/>
      <c s="8" r="I541"/>
      <c s="8" r="J541"/>
      <c s="8" r="K541"/>
      <c s="8" r="L541"/>
      <c s="8" r="M541"/>
      <c s="8" r="N541"/>
      <c s="8" r="O541"/>
      <c s="8" r="P541"/>
      <c s="8" r="Q541"/>
      <c s="8" r="R541"/>
      <c s="8" r="S541"/>
      <c s="8" r="T541"/>
      <c s="8" r="U541"/>
      <c s="8" r="V541"/>
      <c s="8" r="W541"/>
      <c s="8" r="X541"/>
      <c s="8" r="Y541"/>
      <c s="8" r="Z541"/>
      <c s="8" r="AA541"/>
    </row>
    <row r="542">
      <c t="s" s="7" r="A542">
        <v>1893</v>
      </c>
      <c t="s" s="7" r="B542">
        <v>1894</v>
      </c>
      <c s="7" r="C542"/>
      <c t="s" s="7" r="D542">
        <v>1895</v>
      </c>
      <c t="str" s="9" r="E542">
        <f>HYPERLINK("https://twitter.com/webes44","@webes44")</f>
        <v>@webes44</v>
      </c>
      <c t="str" s="9" r="F542">
        <f>HYPERLINK("http://instagram.com/tinwacker","@tinwacker")</f>
        <v>@tinwacker</v>
      </c>
      <c t="s" s="7" r="G542">
        <v>1896</v>
      </c>
      <c t="s" s="7" r="H542">
        <v>1897</v>
      </c>
      <c s="8" r="I542"/>
      <c s="8" r="J542"/>
      <c s="8" r="K542"/>
      <c s="8" r="L542"/>
      <c s="8" r="M542"/>
      <c s="8" r="N542"/>
      <c s="8" r="O542"/>
      <c s="8" r="P542"/>
      <c s="8" r="Q542"/>
      <c s="8" r="R542"/>
      <c s="8" r="S542"/>
      <c s="8" r="T542"/>
      <c s="8" r="U542"/>
      <c s="8" r="V542"/>
      <c s="8" r="W542"/>
      <c s="8" r="X542"/>
      <c s="8" r="Y542"/>
      <c s="8" r="Z542"/>
      <c s="8" r="AA542"/>
    </row>
    <row r="543">
      <c t="s" s="7" r="A543">
        <v>1898</v>
      </c>
      <c t="s" s="7" r="B543">
        <v>1899</v>
      </c>
      <c t="s" s="7" r="C543">
        <v>1900</v>
      </c>
      <c s="8" r="D543"/>
      <c s="8" r="E543"/>
      <c s="8" r="F543"/>
      <c s="8" r="G543"/>
      <c s="8" r="H543"/>
      <c s="8" r="I543"/>
      <c s="8" r="J543"/>
      <c s="8" r="K543"/>
      <c s="8" r="L543"/>
      <c s="8" r="M543"/>
      <c s="8" r="N543"/>
      <c s="8" r="O543"/>
      <c s="8" r="P543"/>
      <c s="8" r="Q543"/>
      <c s="8" r="R543"/>
      <c s="8" r="S543"/>
      <c s="8" r="T543"/>
      <c s="8" r="U543"/>
      <c s="8" r="V543"/>
      <c s="8" r="W543"/>
      <c s="8" r="X543"/>
      <c s="8" r="Y543"/>
      <c s="8" r="Z543"/>
      <c s="8" r="AA543"/>
    </row>
    <row r="544">
      <c t="s" s="7" r="A544">
        <v>1901</v>
      </c>
      <c t="s" s="7" r="B544">
        <v>1902</v>
      </c>
      <c t="s" s="7" r="C544">
        <v>1903</v>
      </c>
      <c t="s" s="7" r="D544">
        <v>1904</v>
      </c>
      <c t="str" s="9" r="E544">
        <f>HYPERLINK("https://twitter.com/kikkiluvsracing","@kikkiluvsracing")</f>
        <v>@kikkiluvsracing</v>
      </c>
      <c t="str" s="9" r="F544">
        <f>HYPERLINK("http://instagram.com/kikkiluvsracing","@kikkiluvsracing")</f>
        <v>@kikkiluvsracing</v>
      </c>
      <c t="s" s="7" r="G544">
        <v>1905</v>
      </c>
      <c s="8" r="H544"/>
      <c s="8" r="I544"/>
      <c s="8" r="J544"/>
      <c s="8" r="K544"/>
      <c s="8" r="L544"/>
      <c s="8" r="M544"/>
      <c s="8" r="N544"/>
      <c s="8" r="O544"/>
      <c s="8" r="P544"/>
      <c s="8" r="Q544"/>
      <c s="8" r="R544"/>
      <c s="8" r="S544"/>
      <c s="8" r="T544"/>
      <c s="8" r="U544"/>
      <c s="8" r="V544"/>
      <c s="8" r="W544"/>
      <c s="8" r="X544"/>
      <c s="8" r="Y544"/>
      <c s="8" r="Z544"/>
      <c s="8" r="AA544"/>
    </row>
    <row r="545">
      <c t="s" s="7" r="A545">
        <v>1906</v>
      </c>
      <c t="s" s="7" r="B545">
        <v>1907</v>
      </c>
      <c t="s" s="7" r="C545">
        <v>1908</v>
      </c>
      <c s="8" r="D545"/>
      <c s="8" r="E545"/>
      <c s="8" r="F545"/>
      <c s="8" r="G545"/>
      <c s="8" r="H545"/>
      <c s="8" r="I545"/>
      <c s="8" r="J545"/>
      <c s="8" r="K545"/>
      <c s="8" r="L545"/>
      <c s="8" r="M545"/>
      <c s="8" r="N545"/>
      <c s="8" r="O545"/>
      <c s="8" r="P545"/>
      <c s="8" r="Q545"/>
      <c s="8" r="R545"/>
      <c s="8" r="S545"/>
      <c s="8" r="T545"/>
      <c s="8" r="U545"/>
      <c s="8" r="V545"/>
      <c s="8" r="W545"/>
      <c s="8" r="X545"/>
      <c s="8" r="Y545"/>
      <c s="8" r="Z545"/>
      <c s="8" r="AA545"/>
    </row>
    <row r="546">
      <c t="s" s="7" r="A546">
        <v>1909</v>
      </c>
      <c t="s" s="7" r="B546">
        <v>1910</v>
      </c>
      <c t="s" s="7" r="C546">
        <v>1911</v>
      </c>
      <c s="8" r="D546"/>
      <c s="8" r="E546"/>
      <c s="8" r="F546"/>
      <c s="8" r="G546"/>
      <c s="8" r="H546"/>
      <c s="8" r="I546"/>
      <c s="8" r="J546"/>
      <c s="8" r="K546"/>
      <c s="8" r="L546"/>
      <c s="8" r="M546"/>
      <c s="8" r="N546"/>
      <c s="8" r="O546"/>
      <c s="8" r="P546"/>
      <c s="8" r="Q546"/>
      <c s="8" r="R546"/>
      <c s="8" r="S546"/>
      <c s="8" r="T546"/>
      <c s="8" r="U546"/>
      <c s="8" r="V546"/>
      <c s="8" r="W546"/>
      <c s="8" r="X546"/>
      <c s="8" r="Y546"/>
      <c s="8" r="Z546"/>
      <c s="8" r="AA546"/>
    </row>
    <row r="547">
      <c t="s" s="7" r="A547">
        <v>1912</v>
      </c>
      <c t="s" s="7" r="B547">
        <v>1913</v>
      </c>
      <c t="s" s="7" r="C547">
        <v>1914</v>
      </c>
      <c s="8" r="D547"/>
      <c s="8" r="E547"/>
      <c s="8" r="F547"/>
      <c s="8" r="G547"/>
      <c s="8" r="H547"/>
      <c s="8" r="I547"/>
      <c s="8" r="J547"/>
      <c s="8" r="K547"/>
      <c s="8" r="L547"/>
      <c s="8" r="M547"/>
      <c s="8" r="N547"/>
      <c s="8" r="O547"/>
      <c s="8" r="P547"/>
      <c s="8" r="Q547"/>
      <c s="8" r="R547"/>
      <c s="8" r="S547"/>
      <c s="8" r="T547"/>
      <c s="8" r="U547"/>
      <c s="8" r="V547"/>
      <c s="8" r="W547"/>
      <c s="8" r="X547"/>
      <c s="8" r="Y547"/>
      <c s="8" r="Z547"/>
      <c s="8" r="AA547"/>
    </row>
    <row r="548">
      <c t="s" s="7" r="A548">
        <v>1915</v>
      </c>
      <c t="s" s="7" r="B548">
        <v>1916</v>
      </c>
      <c t="s" s="7" r="C548">
        <v>1917</v>
      </c>
      <c s="8" r="D548"/>
      <c s="8" r="E548"/>
      <c s="8" r="F548"/>
      <c s="8" r="G548"/>
      <c s="8" r="H548"/>
      <c s="8" r="I548"/>
      <c s="8" r="J548"/>
      <c s="8" r="K548"/>
      <c s="8" r="L548"/>
      <c s="8" r="M548"/>
      <c s="8" r="N548"/>
      <c s="8" r="O548"/>
      <c s="8" r="P548"/>
      <c s="8" r="Q548"/>
      <c s="8" r="R548"/>
      <c s="8" r="S548"/>
      <c s="8" r="T548"/>
      <c s="8" r="U548"/>
      <c s="8" r="V548"/>
      <c s="8" r="W548"/>
      <c s="8" r="X548"/>
      <c s="8" r="Y548"/>
      <c s="8" r="Z548"/>
      <c s="8" r="AA548"/>
    </row>
    <row r="549">
      <c t="s" s="7" r="A549">
        <v>1918</v>
      </c>
      <c t="s" s="7" r="B549">
        <v>1919</v>
      </c>
      <c t="s" s="7" r="C549">
        <v>1920</v>
      </c>
      <c s="8" r="D549"/>
      <c s="8" r="E549"/>
      <c s="8" r="F549"/>
      <c s="8" r="G549"/>
      <c s="8" r="H549"/>
      <c s="8" r="I549"/>
      <c s="8" r="J549"/>
      <c s="8" r="K549"/>
      <c s="8" r="L549"/>
      <c s="8" r="M549"/>
      <c s="8" r="N549"/>
      <c s="8" r="O549"/>
      <c s="8" r="P549"/>
      <c s="8" r="Q549"/>
      <c s="8" r="R549"/>
      <c s="8" r="S549"/>
      <c s="8" r="T549"/>
      <c s="8" r="U549"/>
      <c s="8" r="V549"/>
      <c s="8" r="W549"/>
      <c s="8" r="X549"/>
      <c s="8" r="Y549"/>
      <c s="8" r="Z549"/>
      <c s="8" r="AA549"/>
    </row>
    <row r="550">
      <c t="s" s="7" r="A550">
        <v>1921</v>
      </c>
      <c t="s" s="7" r="B550">
        <v>1922</v>
      </c>
      <c t="s" s="7" r="C550">
        <v>1923</v>
      </c>
      <c s="8" r="D550"/>
      <c s="8" r="E550"/>
      <c s="8" r="F550"/>
      <c s="8" r="G550"/>
      <c s="8" r="H550"/>
      <c s="8" r="I550"/>
      <c s="8" r="J550"/>
      <c s="8" r="K550"/>
      <c s="8" r="L550"/>
      <c s="8" r="M550"/>
      <c s="8" r="N550"/>
      <c s="8" r="O550"/>
      <c s="8" r="P550"/>
      <c s="8" r="Q550"/>
      <c s="8" r="R550"/>
      <c s="8" r="S550"/>
      <c s="8" r="T550"/>
      <c s="8" r="U550"/>
      <c s="8" r="V550"/>
      <c s="8" r="W550"/>
      <c s="8" r="X550"/>
      <c s="8" r="Y550"/>
      <c s="8" r="Z550"/>
      <c s="8" r="AA550"/>
    </row>
    <row r="551">
      <c t="s" s="7" r="A551">
        <v>1924</v>
      </c>
      <c t="s" s="7" r="B551">
        <v>1925</v>
      </c>
      <c t="s" s="7" r="C551">
        <v>1926</v>
      </c>
      <c t="s" s="7" r="D551">
        <v>1927</v>
      </c>
      <c t="str" s="9" r="E551">
        <f>HYPERLINK("https://twitter.com/atmbcool","@atmbcool")</f>
        <v>@atmbcool</v>
      </c>
      <c t="str" s="9" r="F551">
        <f>HYPERLINK("http://instagram.com/tripletee","@tripletee")</f>
        <v>@tripletee</v>
      </c>
      <c s="8" r="G551"/>
      <c s="8" r="H551"/>
      <c s="8" r="I551"/>
      <c s="8" r="J551"/>
      <c s="8" r="K551"/>
      <c s="8" r="L551"/>
      <c s="8" r="M551"/>
      <c s="8" r="N551"/>
      <c s="8" r="O551"/>
      <c s="8" r="P551"/>
      <c s="8" r="Q551"/>
      <c s="8" r="R551"/>
      <c s="8" r="S551"/>
      <c s="8" r="T551"/>
      <c s="8" r="U551"/>
      <c s="8" r="V551"/>
      <c s="8" r="W551"/>
      <c s="8" r="X551"/>
      <c s="8" r="Y551"/>
      <c s="8" r="Z551"/>
      <c s="8" r="AA551"/>
    </row>
    <row r="552">
      <c t="s" s="7" r="A552">
        <v>1928</v>
      </c>
      <c t="s" s="7" r="B552">
        <v>1929</v>
      </c>
      <c t="s" s="7" r="C552">
        <v>1930</v>
      </c>
      <c s="8" r="D552"/>
      <c s="8" r="E552"/>
      <c s="8" r="F552"/>
      <c s="8" r="G552"/>
      <c s="8" r="H552"/>
      <c s="8" r="I552"/>
      <c s="8" r="J552"/>
      <c s="8" r="K552"/>
      <c s="8" r="L552"/>
      <c s="8" r="M552"/>
      <c s="8" r="N552"/>
      <c s="8" r="O552"/>
      <c s="8" r="P552"/>
      <c s="8" r="Q552"/>
      <c s="8" r="R552"/>
      <c s="8" r="S552"/>
      <c s="8" r="T552"/>
      <c s="8" r="U552"/>
      <c s="8" r="V552"/>
      <c s="8" r="W552"/>
      <c s="8" r="X552"/>
      <c s="8" r="Y552"/>
      <c s="8" r="Z552"/>
      <c s="8" r="AA552"/>
    </row>
    <row r="553">
      <c t="s" s="7" r="A553">
        <v>1931</v>
      </c>
      <c t="s" s="7" r="B553">
        <v>1932</v>
      </c>
      <c t="s" s="7" r="C553">
        <v>1933</v>
      </c>
      <c t="s" s="7" r="D553">
        <v>1934</v>
      </c>
      <c t="str" s="9" r="E553">
        <f>HYPERLINK("https://twitter.com/cantskateanymre","@cantskateanymre")</f>
        <v>@cantskateanymre</v>
      </c>
      <c t="str" s="9" r="F553">
        <f>HYPERLINK("http://instagram.com/cantsk8rds","@cantsk8rds")</f>
        <v>@cantsk8rds</v>
      </c>
      <c s="8" r="G553"/>
      <c s="8" r="H553"/>
      <c s="8" r="I553"/>
      <c s="8" r="J553"/>
      <c s="8" r="K553"/>
      <c s="8" r="L553"/>
      <c s="8" r="M553"/>
      <c s="8" r="N553"/>
      <c s="8" r="O553"/>
      <c s="8" r="P553"/>
      <c s="8" r="Q553"/>
      <c s="8" r="R553"/>
      <c s="8" r="S553"/>
      <c s="8" r="T553"/>
      <c s="8" r="U553"/>
      <c s="8" r="V553"/>
      <c s="8" r="W553"/>
      <c s="8" r="X553"/>
      <c s="8" r="Y553"/>
      <c s="8" r="Z553"/>
      <c s="8" r="AA553"/>
    </row>
    <row r="554">
      <c t="s" s="7" r="A554">
        <v>1935</v>
      </c>
      <c t="s" s="7" r="B554">
        <v>1936</v>
      </c>
      <c t="s" s="7" r="C554">
        <v>1937</v>
      </c>
      <c s="8" r="D554"/>
      <c s="8" r="E554"/>
      <c s="8" r="F554"/>
      <c s="8" r="G554"/>
      <c s="8" r="H554"/>
      <c s="8" r="I554"/>
      <c s="8" r="J554"/>
      <c s="8" r="K554"/>
      <c s="8" r="L554"/>
      <c s="8" r="M554"/>
      <c s="8" r="N554"/>
      <c s="8" r="O554"/>
      <c s="8" r="P554"/>
      <c s="8" r="Q554"/>
      <c s="8" r="R554"/>
      <c s="8" r="S554"/>
      <c s="8" r="T554"/>
      <c s="8" r="U554"/>
      <c s="8" r="V554"/>
      <c s="8" r="W554"/>
      <c s="8" r="X554"/>
      <c s="8" r="Y554"/>
      <c s="8" r="Z554"/>
      <c s="8" r="AA554"/>
    </row>
    <row r="555">
      <c t="s" s="7" r="A555">
        <v>1938</v>
      </c>
      <c t="s" s="7" r="B555">
        <v>1939</v>
      </c>
      <c t="s" s="7" r="C555">
        <v>1940</v>
      </c>
      <c s="8" r="D555"/>
      <c s="8" r="E555"/>
      <c s="8" r="F555"/>
      <c s="8" r="G555"/>
      <c s="8" r="H555"/>
      <c s="8" r="I555"/>
      <c s="8" r="J555"/>
      <c s="8" r="K555"/>
      <c s="8" r="L555"/>
      <c s="8" r="M555"/>
      <c s="8" r="N555"/>
      <c s="8" r="O555"/>
      <c s="8" r="P555"/>
      <c s="8" r="Q555"/>
      <c s="8" r="R555"/>
      <c s="8" r="S555"/>
      <c s="8" r="T555"/>
      <c s="8" r="U555"/>
      <c s="8" r="V555"/>
      <c s="8" r="W555"/>
      <c s="8" r="X555"/>
      <c s="8" r="Y555"/>
      <c s="8" r="Z555"/>
      <c s="8" r="AA555"/>
    </row>
    <row r="556">
      <c t="s" s="7" r="A556">
        <v>1941</v>
      </c>
      <c t="s" s="7" r="B556">
        <v>1942</v>
      </c>
      <c t="s" s="7" r="C556">
        <v>1943</v>
      </c>
      <c t="s" s="7" r="D556">
        <v>1944</v>
      </c>
      <c t="str" s="9" r="E556">
        <f>HYPERLINK("https://twitter.com/Truk_Norris","@Truk_Norris")</f>
        <v>@Truk_Norris</v>
      </c>
      <c s="8" r="F556"/>
      <c s="8" r="G556"/>
      <c s="8" r="H556"/>
      <c s="8" r="I556"/>
      <c s="8" r="J556"/>
      <c s="8" r="K556"/>
      <c s="8" r="L556"/>
      <c s="8" r="M556"/>
      <c s="8" r="N556"/>
      <c s="8" r="O556"/>
      <c s="8" r="P556"/>
      <c s="8" r="Q556"/>
      <c s="8" r="R556"/>
      <c s="8" r="S556"/>
      <c s="8" r="T556"/>
      <c s="8" r="U556"/>
      <c s="8" r="V556"/>
      <c s="8" r="W556"/>
      <c s="8" r="X556"/>
      <c s="8" r="Y556"/>
      <c s="8" r="Z556"/>
      <c s="8" r="AA556"/>
    </row>
    <row r="557">
      <c t="s" s="7" r="A557">
        <v>1945</v>
      </c>
      <c t="s" s="7" r="B557">
        <v>1946</v>
      </c>
      <c t="s" s="7" r="C557">
        <v>1947</v>
      </c>
      <c s="8" r="D557"/>
      <c s="8" r="E557"/>
      <c s="8" r="F557"/>
      <c s="8" r="G557"/>
      <c s="8" r="H557"/>
      <c s="8" r="I557"/>
      <c s="8" r="J557"/>
      <c s="8" r="K557"/>
      <c s="8" r="L557"/>
      <c s="8" r="M557"/>
      <c s="8" r="N557"/>
      <c s="8" r="O557"/>
      <c s="8" r="P557"/>
      <c s="8" r="Q557"/>
      <c s="8" r="R557"/>
      <c s="8" r="S557"/>
      <c s="8" r="T557"/>
      <c s="8" r="U557"/>
      <c s="8" r="V557"/>
      <c s="8" r="W557"/>
      <c s="8" r="X557"/>
      <c s="8" r="Y557"/>
      <c s="8" r="Z557"/>
      <c s="8" r="AA557"/>
    </row>
    <row r="558">
      <c t="s" s="7" r="A558">
        <v>1948</v>
      </c>
      <c t="s" s="7" r="B558">
        <v>1949</v>
      </c>
      <c t="s" s="7" r="C558">
        <v>1950</v>
      </c>
      <c t="s" s="7" r="D558">
        <v>1951</v>
      </c>
      <c t="str" s="9" r="E558">
        <f>HYPERLINK("https://twitter.com/tubeinspecter","@tubeinspecter")</f>
        <v>@tubeinspecter</v>
      </c>
      <c t="str" s="9" r="F558">
        <f>HYPERLINK("http://instagram.com/tubinspecter","@tubinspecter")</f>
        <v>@tubinspecter</v>
      </c>
      <c t="s" s="7" r="G558">
        <v>1952</v>
      </c>
      <c s="8" r="H558"/>
      <c s="8" r="I558"/>
      <c s="8" r="J558"/>
      <c s="8" r="K558"/>
      <c s="8" r="L558"/>
      <c s="8" r="M558"/>
      <c s="8" r="N558"/>
      <c s="8" r="O558"/>
      <c s="8" r="P558"/>
      <c s="8" r="Q558"/>
      <c s="8" r="R558"/>
      <c s="8" r="S558"/>
      <c s="8" r="T558"/>
      <c s="8" r="U558"/>
      <c s="8" r="V558"/>
      <c s="8" r="W558"/>
      <c s="8" r="X558"/>
      <c s="8" r="Y558"/>
      <c s="8" r="Z558"/>
      <c s="8" r="AA558"/>
    </row>
    <row r="559">
      <c t="s" s="7" r="A559">
        <v>1953</v>
      </c>
      <c t="s" s="7" r="B559">
        <v>1954</v>
      </c>
      <c t="s" s="7" r="C559">
        <v>1955</v>
      </c>
      <c s="8" r="D559"/>
      <c s="8" r="E559"/>
      <c s="8" r="F559"/>
      <c s="8" r="G559"/>
      <c s="8" r="H559"/>
      <c s="8" r="I559"/>
      <c s="8" r="J559"/>
      <c s="8" r="K559"/>
      <c s="8" r="L559"/>
      <c s="8" r="M559"/>
      <c s="8" r="N559"/>
      <c s="8" r="O559"/>
      <c s="8" r="P559"/>
      <c s="8" r="Q559"/>
      <c s="8" r="R559"/>
      <c s="8" r="S559"/>
      <c s="8" r="T559"/>
      <c s="8" r="U559"/>
      <c s="8" r="V559"/>
      <c s="8" r="W559"/>
      <c s="8" r="X559"/>
      <c s="8" r="Y559"/>
      <c s="8" r="Z559"/>
      <c s="8" r="AA559"/>
    </row>
    <row r="560">
      <c t="s" s="7" r="A560">
        <v>1956</v>
      </c>
      <c t="s" s="7" r="B560">
        <v>1957</v>
      </c>
      <c t="s" s="7" r="C560">
        <v>1958</v>
      </c>
      <c s="8" r="D560"/>
      <c s="8" r="E560"/>
      <c s="8" r="F560"/>
      <c s="8" r="G560"/>
      <c s="8" r="H560"/>
      <c s="8" r="I560"/>
      <c s="8" r="J560"/>
      <c s="8" r="K560"/>
      <c s="8" r="L560"/>
      <c s="8" r="M560"/>
      <c s="8" r="N560"/>
      <c s="8" r="O560"/>
      <c s="8" r="P560"/>
      <c s="8" r="Q560"/>
      <c s="8" r="R560"/>
      <c s="8" r="S560"/>
      <c s="8" r="T560"/>
      <c s="8" r="U560"/>
      <c s="8" r="V560"/>
      <c s="8" r="W560"/>
      <c s="8" r="X560"/>
      <c s="8" r="Y560"/>
      <c s="8" r="Z560"/>
      <c s="8" r="AA560"/>
    </row>
    <row r="561">
      <c t="s" s="7" r="A561">
        <v>1959</v>
      </c>
      <c t="s" s="7" r="B561">
        <v>1960</v>
      </c>
      <c t="s" s="7" r="C561">
        <v>1961</v>
      </c>
      <c s="8" r="D561"/>
      <c s="8" r="E561"/>
      <c s="8" r="F561"/>
      <c s="8" r="G561"/>
      <c s="8" r="H561"/>
      <c s="8" r="I561"/>
      <c s="8" r="J561"/>
      <c s="8" r="K561"/>
      <c s="8" r="L561"/>
      <c s="8" r="M561"/>
      <c s="8" r="N561"/>
      <c s="8" r="O561"/>
      <c s="8" r="P561"/>
      <c s="8" r="Q561"/>
      <c s="8" r="R561"/>
      <c s="8" r="S561"/>
      <c s="8" r="T561"/>
      <c s="8" r="U561"/>
      <c s="8" r="V561"/>
      <c s="8" r="W561"/>
      <c s="8" r="X561"/>
      <c s="8" r="Y561"/>
      <c s="8" r="Z561"/>
      <c s="8" r="AA561"/>
    </row>
    <row r="562">
      <c t="s" s="7" r="A562">
        <v>1962</v>
      </c>
      <c t="s" s="7" r="B562">
        <v>1963</v>
      </c>
      <c t="s" s="7" r="C562">
        <v>1964</v>
      </c>
      <c s="8" r="D562"/>
      <c s="8" r="E562"/>
      <c s="8" r="F562"/>
      <c s="8" r="G562"/>
      <c s="8" r="H562"/>
      <c s="8" r="I562"/>
      <c s="8" r="J562"/>
      <c s="8" r="K562"/>
      <c s="8" r="L562"/>
      <c s="8" r="M562"/>
      <c s="8" r="N562"/>
      <c s="8" r="O562"/>
      <c s="8" r="P562"/>
      <c s="8" r="Q562"/>
      <c s="8" r="R562"/>
      <c s="8" r="S562"/>
      <c s="8" r="T562"/>
      <c s="8" r="U562"/>
      <c s="8" r="V562"/>
      <c s="8" r="W562"/>
      <c s="8" r="X562"/>
      <c s="8" r="Y562"/>
      <c s="8" r="Z562"/>
      <c s="8" r="AA562"/>
    </row>
    <row r="563">
      <c t="s" s="7" r="A563">
        <v>1965</v>
      </c>
      <c t="s" s="7" r="B563">
        <v>1966</v>
      </c>
      <c t="s" s="7" r="C563">
        <v>1967</v>
      </c>
      <c t="s" s="7" r="D563">
        <v>1968</v>
      </c>
      <c t="str" s="9" r="E563">
        <f>HYPERLINK("https://twitter.com/TwistedMetalFab","@twistedmetalfab")</f>
        <v>@twistedmetalfab</v>
      </c>
      <c t="str" s="9" r="F563">
        <f>HYPERLINK("http://instagram.com/twistedmetalfab","@twistedmetalfab")</f>
        <v>@twistedmetalfab</v>
      </c>
      <c t="s" s="7" r="G563">
        <v>1969</v>
      </c>
      <c t="s" s="7" r="H563">
        <v>1970</v>
      </c>
      <c s="8" r="I563"/>
      <c s="8" r="J563"/>
      <c s="8" r="K563"/>
      <c s="8" r="L563"/>
      <c s="8" r="M563"/>
      <c s="8" r="N563"/>
      <c s="8" r="O563"/>
      <c s="8" r="P563"/>
      <c s="8" r="Q563"/>
      <c s="8" r="R563"/>
      <c s="8" r="S563"/>
      <c s="8" r="T563"/>
      <c s="8" r="U563"/>
      <c s="8" r="V563"/>
      <c s="8" r="W563"/>
      <c s="8" r="X563"/>
      <c s="8" r="Y563"/>
      <c s="8" r="Z563"/>
      <c s="8" r="AA563"/>
    </row>
    <row r="564">
      <c t="s" s="7" r="A564">
        <v>1971</v>
      </c>
      <c t="s" s="7" r="B564">
        <v>1972</v>
      </c>
      <c t="s" s="7" r="C564">
        <v>1973</v>
      </c>
      <c t="s" s="7" r="D564">
        <v>1974</v>
      </c>
      <c s="8" r="E564"/>
      <c s="8" r="F564"/>
      <c s="8" r="G564"/>
      <c s="8" r="H564"/>
      <c s="8" r="I564"/>
      <c s="8" r="J564"/>
      <c s="8" r="K564"/>
      <c s="8" r="L564"/>
      <c s="8" r="M564"/>
      <c s="8" r="N564"/>
      <c s="8" r="O564"/>
      <c s="8" r="P564"/>
      <c s="8" r="Q564"/>
      <c s="8" r="R564"/>
      <c s="8" r="S564"/>
      <c s="8" r="T564"/>
      <c s="8" r="U564"/>
      <c s="8" r="V564"/>
      <c s="8" r="W564"/>
      <c s="8" r="X564"/>
      <c s="8" r="Y564"/>
      <c s="8" r="Z564"/>
      <c s="8" r="AA564"/>
    </row>
    <row r="565">
      <c t="s" s="7" r="A565">
        <v>1975</v>
      </c>
      <c t="s" s="7" r="B565">
        <v>1976</v>
      </c>
      <c t="s" s="7" r="C565">
        <v>1977</v>
      </c>
      <c s="8" r="D565"/>
      <c s="8" r="E565"/>
      <c s="8" r="F565"/>
      <c s="8" r="G565"/>
      <c s="8" r="H565"/>
      <c s="8" r="I565"/>
      <c s="8" r="J565"/>
      <c s="8" r="K565"/>
      <c s="8" r="L565"/>
      <c s="8" r="M565"/>
      <c s="8" r="N565"/>
      <c s="8" r="O565"/>
      <c s="8" r="P565"/>
      <c s="8" r="Q565"/>
      <c s="8" r="R565"/>
      <c s="8" r="S565"/>
      <c s="8" r="T565"/>
      <c s="8" r="U565"/>
      <c s="8" r="V565"/>
      <c s="8" r="W565"/>
      <c s="8" r="X565"/>
      <c s="8" r="Y565"/>
      <c s="8" r="Z565"/>
      <c s="8" r="AA565"/>
    </row>
    <row r="566">
      <c t="s" s="7" r="A566">
        <v>1978</v>
      </c>
      <c t="s" s="7" r="B566">
        <v>1979</v>
      </c>
      <c t="s" s="7" r="C566">
        <v>1980</v>
      </c>
      <c t="s" s="7" r="D566">
        <v>1981</v>
      </c>
      <c t="str" s="9" r="E566">
        <f>HYPERLINK("https://twitter.com/ViPER_EAW","@Viper_EAW")</f>
        <v>@Viper_EAW</v>
      </c>
      <c t="str" s="9" r="F566">
        <f>HYPERLINK("http://instagram.com/viper_eaw","@Viper_EAW")</f>
        <v>@Viper_EAW</v>
      </c>
      <c t="s" s="7" r="G566">
        <v>1982</v>
      </c>
      <c t="s" s="7" r="H566">
        <v>1983</v>
      </c>
      <c s="8" r="I566"/>
      <c s="8" r="J566"/>
      <c s="8" r="K566"/>
      <c s="8" r="L566"/>
      <c s="8" r="M566"/>
      <c s="8" r="N566"/>
      <c s="8" r="O566"/>
      <c s="8" r="P566"/>
      <c s="8" r="Q566"/>
      <c s="8" r="R566"/>
      <c s="8" r="S566"/>
      <c s="8" r="T566"/>
      <c s="8" r="U566"/>
      <c s="8" r="V566"/>
      <c s="8" r="W566"/>
      <c s="8" r="X566"/>
      <c s="8" r="Y566"/>
      <c s="8" r="Z566"/>
      <c s="8" r="AA566"/>
    </row>
    <row r="567">
      <c t="s" s="7" r="A567">
        <v>1984</v>
      </c>
      <c t="s" s="7" r="B567">
        <v>1985</v>
      </c>
      <c t="s" s="7" r="C567">
        <v>1986</v>
      </c>
      <c s="8" r="D567"/>
      <c s="8" r="E567"/>
      <c s="8" r="F567"/>
      <c s="8" r="G567"/>
      <c s="8" r="H567"/>
      <c s="8" r="I567"/>
      <c s="8" r="J567"/>
      <c s="8" r="K567"/>
      <c s="8" r="L567"/>
      <c s="8" r="M567"/>
      <c s="8" r="N567"/>
      <c s="8" r="O567"/>
      <c s="8" r="P567"/>
      <c s="8" r="Q567"/>
      <c s="8" r="R567"/>
      <c s="8" r="S567"/>
      <c s="8" r="T567"/>
      <c s="8" r="U567"/>
      <c s="8" r="V567"/>
      <c s="8" r="W567"/>
      <c s="8" r="X567"/>
      <c s="8" r="Y567"/>
      <c s="8" r="Z567"/>
      <c s="8" r="AA567"/>
    </row>
    <row r="568">
      <c t="s" s="7" r="A568">
        <v>1987</v>
      </c>
      <c t="s" s="7" r="B568">
        <v>1988</v>
      </c>
      <c t="s" s="7" r="C568">
        <v>1989</v>
      </c>
      <c s="8" r="D568"/>
      <c s="8" r="E568"/>
      <c s="8" r="F568"/>
      <c s="8" r="G568"/>
      <c s="8" r="H568"/>
      <c s="8" r="I568"/>
      <c s="8" r="J568"/>
      <c s="8" r="K568"/>
      <c s="8" r="L568"/>
      <c s="8" r="M568"/>
      <c s="8" r="N568"/>
      <c s="8" r="O568"/>
      <c s="8" r="P568"/>
      <c s="8" r="Q568"/>
      <c s="8" r="R568"/>
      <c s="8" r="S568"/>
      <c s="8" r="T568"/>
      <c s="8" r="U568"/>
      <c s="8" r="V568"/>
      <c s="8" r="W568"/>
      <c s="8" r="X568"/>
      <c s="8" r="Y568"/>
      <c s="8" r="Z568"/>
      <c s="8" r="AA568"/>
    </row>
    <row r="569">
      <c t="s" s="7" r="A569">
        <v>1990</v>
      </c>
      <c t="s" s="7" r="B569">
        <v>1991</v>
      </c>
      <c t="s" s="7" r="C569">
        <v>1992</v>
      </c>
      <c t="s" s="7" r="D569">
        <v>1993</v>
      </c>
      <c t="str" s="9" r="E569">
        <f>HYPERLINK("https://twitter.com/MaddTrippNz","@MaddtrippNz")</f>
        <v>@MaddtrippNz</v>
      </c>
      <c s="8" r="F569"/>
      <c s="8" r="G569"/>
      <c s="8" r="H569"/>
      <c s="8" r="I569"/>
      <c s="8" r="J569"/>
      <c s="8" r="K569"/>
      <c s="8" r="L569"/>
      <c s="8" r="M569"/>
      <c s="8" r="N569"/>
      <c s="8" r="O569"/>
      <c s="8" r="P569"/>
      <c s="8" r="Q569"/>
      <c s="8" r="R569"/>
      <c s="8" r="S569"/>
      <c s="8" r="T569"/>
      <c s="8" r="U569"/>
      <c s="8" r="V569"/>
      <c s="8" r="W569"/>
      <c s="8" r="X569"/>
      <c s="8" r="Y569"/>
      <c s="8" r="Z569"/>
      <c s="8" r="AA569"/>
    </row>
    <row r="570">
      <c t="s" s="7" r="A570">
        <v>1994</v>
      </c>
      <c t="s" s="7" r="B570">
        <v>1995</v>
      </c>
      <c t="s" s="7" r="C570">
        <v>1996</v>
      </c>
      <c s="8" r="D570"/>
      <c s="8" r="E570"/>
      <c s="8" r="F570"/>
      <c s="8" r="G570"/>
      <c s="8" r="H570"/>
      <c s="8" r="I570"/>
      <c s="8" r="J570"/>
      <c s="8" r="K570"/>
      <c s="8" r="L570"/>
      <c s="8" r="M570"/>
      <c s="8" r="N570"/>
      <c s="8" r="O570"/>
      <c s="8" r="P570"/>
      <c s="8" r="Q570"/>
      <c s="8" r="R570"/>
      <c s="8" r="S570"/>
      <c s="8" r="T570"/>
      <c s="8" r="U570"/>
      <c s="8" r="V570"/>
      <c s="8" r="W570"/>
      <c s="8" r="X570"/>
      <c s="8" r="Y570"/>
      <c s="8" r="Z570"/>
      <c s="8" r="AA570"/>
    </row>
    <row r="571">
      <c t="s" s="7" r="A571">
        <v>1997</v>
      </c>
      <c t="s" s="7" r="B571">
        <v>1998</v>
      </c>
      <c t="s" s="7" r="C571">
        <v>1999</v>
      </c>
      <c s="8" r="D571"/>
      <c s="8" r="E571"/>
      <c s="8" r="F571"/>
      <c s="8" r="G571"/>
      <c s="8" r="H571"/>
      <c s="8" r="I571"/>
      <c s="8" r="J571"/>
      <c s="8" r="K571"/>
      <c s="8" r="L571"/>
      <c s="8" r="M571"/>
      <c s="8" r="N571"/>
      <c s="8" r="O571"/>
      <c s="8" r="P571"/>
      <c s="8" r="Q571"/>
      <c s="8" r="R571"/>
      <c s="8" r="S571"/>
      <c s="8" r="T571"/>
      <c s="8" r="U571"/>
      <c s="8" r="V571"/>
      <c s="8" r="W571"/>
      <c s="8" r="X571"/>
      <c s="8" r="Y571"/>
      <c s="8" r="Z571"/>
      <c s="8" r="AA571"/>
    </row>
    <row r="572">
      <c t="s" s="7" r="A572">
        <v>2000</v>
      </c>
      <c t="s" s="7" r="B572">
        <v>2001</v>
      </c>
      <c t="s" s="7" r="C572">
        <v>2002</v>
      </c>
      <c t="s" s="7" r="D572">
        <v>2003</v>
      </c>
      <c t="str" s="9" r="E572">
        <f>HYPERLINK("https://twitter.com/frontline1","@frontline1")</f>
        <v>@frontline1</v>
      </c>
      <c s="8" r="F572"/>
      <c s="8" r="G572"/>
      <c s="8" r="H572"/>
      <c s="8" r="I572"/>
      <c s="8" r="J572"/>
      <c s="8" r="K572"/>
      <c s="8" r="L572"/>
      <c s="8" r="M572"/>
      <c s="8" r="N572"/>
      <c s="8" r="O572"/>
      <c s="8" r="P572"/>
      <c s="8" r="Q572"/>
      <c s="8" r="R572"/>
      <c s="8" r="S572"/>
      <c s="8" r="T572"/>
      <c s="8" r="U572"/>
      <c s="8" r="V572"/>
      <c s="8" r="W572"/>
      <c s="8" r="X572"/>
      <c s="8" r="Y572"/>
      <c s="8" r="Z572"/>
      <c s="8" r="AA572"/>
    </row>
    <row r="573">
      <c t="s" s="7" r="A573">
        <v>2004</v>
      </c>
      <c t="s" s="7" r="B573">
        <v>2005</v>
      </c>
      <c t="s" s="7" r="C573">
        <v>2006</v>
      </c>
      <c t="s" s="7" r="D573">
        <v>2007</v>
      </c>
      <c t="str" s="9" r="E573">
        <f>HYPERLINK("https://twitter.com/fm_fan2012","@fm_fan2012")</f>
        <v>@fm_fan2012</v>
      </c>
      <c t="str" s="9" r="F573">
        <f>HYPERLINK("http://instagram.com/pdx_fan","@PDX_FAN")</f>
        <v>@PDX_FAN</v>
      </c>
      <c t="s" s="7" r="G573">
        <v>2008</v>
      </c>
      <c s="8" r="H573"/>
      <c s="8" r="I573"/>
      <c s="8" r="J573"/>
      <c s="8" r="K573"/>
      <c s="8" r="L573"/>
      <c s="8" r="M573"/>
      <c s="8" r="N573"/>
      <c s="8" r="O573"/>
      <c s="8" r="P573"/>
      <c s="8" r="Q573"/>
      <c s="8" r="R573"/>
      <c s="8" r="S573"/>
      <c s="8" r="T573"/>
      <c s="8" r="U573"/>
      <c s="8" r="V573"/>
      <c s="8" r="W573"/>
      <c s="8" r="X573"/>
      <c s="8" r="Y573"/>
      <c s="8" r="Z573"/>
      <c s="8" r="AA573"/>
    </row>
    <row r="574">
      <c t="s" s="7" r="A574">
        <v>2009</v>
      </c>
      <c t="s" s="7" r="B574">
        <v>2010</v>
      </c>
      <c t="s" s="7" r="C574">
        <v>2011</v>
      </c>
      <c s="8" r="D574"/>
      <c s="8" r="E574"/>
      <c s="8" r="F574"/>
      <c s="8" r="G574"/>
      <c s="8" r="H574"/>
      <c s="8" r="I574"/>
      <c s="8" r="J574"/>
      <c s="8" r="K574"/>
      <c s="8" r="L574"/>
      <c s="8" r="M574"/>
      <c s="8" r="N574"/>
      <c s="8" r="O574"/>
      <c s="8" r="P574"/>
      <c s="8" r="Q574"/>
      <c s="8" r="R574"/>
      <c s="8" r="S574"/>
      <c s="8" r="T574"/>
      <c s="8" r="U574"/>
      <c s="8" r="V574"/>
      <c s="8" r="W574"/>
      <c s="8" r="X574"/>
      <c s="8" r="Y574"/>
      <c s="8" r="Z574"/>
      <c s="8" r="AA574"/>
    </row>
    <row r="575">
      <c t="s" s="7" r="A575">
        <v>2012</v>
      </c>
      <c t="s" s="7" r="B575">
        <v>2013</v>
      </c>
      <c t="s" s="7" r="C575">
        <v>2014</v>
      </c>
      <c t="s" s="7" r="D575">
        <v>2015</v>
      </c>
      <c t="str" s="9" r="E575">
        <f>HYPERLINK("https://twitter.com/Wolfman812","@Wolfman812")</f>
        <v>@Wolfman812</v>
      </c>
      <c t="str" s="9" r="F575">
        <f>HYPERLINK("http://instagram.com/wolfman812","@Wolfman812")</f>
        <v>@Wolfman812</v>
      </c>
      <c t="s" s="7" r="G575">
        <v>2016</v>
      </c>
      <c t="s" s="7" r="H575">
        <v>2017</v>
      </c>
      <c s="8" r="I575"/>
      <c s="8" r="J575"/>
      <c s="8" r="K575"/>
      <c s="8" r="L575"/>
      <c s="8" r="M575"/>
      <c s="8" r="N575"/>
      <c s="8" r="O575"/>
      <c s="8" r="P575"/>
      <c s="8" r="Q575"/>
      <c s="8" r="R575"/>
      <c s="8" r="S575"/>
      <c s="8" r="T575"/>
      <c s="8" r="U575"/>
      <c s="8" r="V575"/>
      <c s="8" r="W575"/>
      <c s="8" r="X575"/>
      <c s="8" r="Y575"/>
      <c s="8" r="Z575"/>
      <c s="8" r="AA575"/>
    </row>
    <row r="576">
      <c t="s" s="7" r="A576">
        <v>2018</v>
      </c>
      <c t="s" s="7" r="B576">
        <v>2019</v>
      </c>
      <c t="s" s="7" r="C576">
        <v>2020</v>
      </c>
      <c s="8" r="D576"/>
      <c s="8" r="E576"/>
      <c s="8" r="F576"/>
      <c s="8" r="G576"/>
      <c s="8" r="H576"/>
      <c s="8" r="I576"/>
      <c s="8" r="J576"/>
      <c s="8" r="K576"/>
      <c s="8" r="L576"/>
      <c s="8" r="M576"/>
      <c s="8" r="N576"/>
      <c s="8" r="O576"/>
      <c s="8" r="P576"/>
      <c s="8" r="Q576"/>
      <c s="8" r="R576"/>
      <c s="8" r="S576"/>
      <c s="8" r="T576"/>
      <c s="8" r="U576"/>
      <c s="8" r="V576"/>
      <c s="8" r="W576"/>
      <c s="8" r="X576"/>
      <c s="8" r="Y576"/>
      <c s="8" r="Z576"/>
      <c s="8" r="AA576"/>
    </row>
    <row r="577">
      <c t="s" s="7" r="A577">
        <v>2021</v>
      </c>
      <c t="s" s="7" r="B577">
        <v>2022</v>
      </c>
      <c t="s" s="7" r="C577">
        <v>2023</v>
      </c>
      <c s="8" r="D577"/>
      <c s="8" r="E577"/>
      <c s="8" r="F577"/>
      <c s="8" r="G577"/>
      <c s="8" r="H577"/>
      <c s="8" r="I577"/>
      <c s="8" r="J577"/>
      <c s="8" r="K577"/>
      <c s="8" r="L577"/>
      <c s="8" r="M577"/>
      <c s="8" r="N577"/>
      <c s="8" r="O577"/>
      <c s="8" r="P577"/>
      <c s="8" r="Q577"/>
      <c s="8" r="R577"/>
      <c s="8" r="S577"/>
      <c s="8" r="T577"/>
      <c s="8" r="U577"/>
      <c s="8" r="V577"/>
      <c s="8" r="W577"/>
      <c s="8" r="X577"/>
      <c s="8" r="Y577"/>
      <c s="8" r="Z577"/>
      <c s="8" r="AA577"/>
    </row>
    <row r="578">
      <c t="s" s="7" r="A578">
        <v>2024</v>
      </c>
      <c t="s" s="7" r="B578">
        <v>2025</v>
      </c>
      <c t="s" s="7" r="C578">
        <v>2026</v>
      </c>
      <c s="8" r="D578"/>
      <c s="8" r="E578"/>
      <c s="8" r="F578"/>
      <c s="8" r="G578"/>
      <c s="8" r="H578"/>
      <c s="8" r="I578"/>
      <c s="8" r="J578"/>
      <c s="8" r="K578"/>
      <c s="8" r="L578"/>
      <c s="8" r="M578"/>
      <c s="8" r="N578"/>
      <c s="8" r="O578"/>
      <c s="8" r="P578"/>
      <c s="8" r="Q578"/>
      <c s="8" r="R578"/>
      <c s="8" r="S578"/>
      <c s="8" r="T578"/>
      <c s="8" r="U578"/>
      <c s="8" r="V578"/>
      <c s="8" r="W578"/>
      <c s="8" r="X578"/>
      <c s="8" r="Y578"/>
      <c s="8" r="Z578"/>
      <c s="8" r="AA578"/>
    </row>
    <row r="579">
      <c t="s" s="7" r="A579">
        <v>2027</v>
      </c>
      <c t="s" s="7" r="B579">
        <v>2028</v>
      </c>
      <c t="s" s="7" r="C579">
        <v>2029</v>
      </c>
      <c s="8" r="D579"/>
      <c s="8" r="E579"/>
      <c s="8" r="F579"/>
      <c s="8" r="G579"/>
      <c s="8" r="H579"/>
      <c s="8" r="I579"/>
      <c s="8" r="J579"/>
      <c s="8" r="K579"/>
      <c s="8" r="L579"/>
      <c s="8" r="M579"/>
      <c s="8" r="N579"/>
      <c s="8" r="O579"/>
      <c s="8" r="P579"/>
      <c s="8" r="Q579"/>
      <c s="8" r="R579"/>
      <c s="8" r="S579"/>
      <c s="8" r="T579"/>
      <c s="8" r="U579"/>
      <c s="8" r="V579"/>
      <c s="8" r="W579"/>
      <c s="8" r="X579"/>
      <c s="8" r="Y579"/>
      <c s="8" r="Z579"/>
      <c s="8" r="AA579"/>
    </row>
    <row r="580">
      <c t="s" s="7" r="A580">
        <v>2030</v>
      </c>
      <c t="s" s="7" r="B580">
        <v>2031</v>
      </c>
      <c t="s" s="7" r="C580">
        <v>2032</v>
      </c>
      <c s="8" r="D580"/>
      <c s="8" r="E580"/>
      <c s="8" r="F580"/>
      <c s="8" r="G580"/>
      <c s="8" r="H580"/>
      <c s="8" r="I580"/>
      <c s="8" r="J580"/>
      <c s="8" r="K580"/>
      <c s="8" r="L580"/>
      <c s="8" r="M580"/>
      <c s="8" r="N580"/>
      <c s="8" r="O580"/>
      <c s="8" r="P580"/>
      <c s="8" r="Q580"/>
      <c s="8" r="R580"/>
      <c s="8" r="S580"/>
      <c s="8" r="T580"/>
      <c s="8" r="U580"/>
      <c s="8" r="V580"/>
      <c s="8" r="W580"/>
      <c s="8" r="X580"/>
      <c s="8" r="Y580"/>
      <c s="8" r="Z580"/>
      <c s="8" r="AA580"/>
    </row>
    <row r="581">
      <c t="s" s="13" r="A581">
        <v>2033</v>
      </c>
      <c t="s" s="13" r="B581">
        <v>2034</v>
      </c>
      <c t="s" s="13" r="C581">
        <v>2035</v>
      </c>
      <c t="s" s="13" r="D581">
        <v>2036</v>
      </c>
      <c t="str" s="14" r="E581">
        <f>HYPERLINK("https://twitter.com/EllisMate","@ellismate")</f>
        <v>@ellismate</v>
      </c>
      <c t="str" s="14" r="F581">
        <f>HYPERLINK("http://instagram.com/wolfmate","@wolfmate")</f>
        <v>@wolfmate</v>
      </c>
      <c t="s" s="13" r="G581">
        <v>2037</v>
      </c>
      <c t="s" s="13" r="H581">
        <v>2038</v>
      </c>
      <c s="8" r="I581"/>
      <c s="8" r="J581"/>
      <c s="8" r="K581"/>
      <c s="8" r="L581"/>
      <c s="8" r="M581"/>
      <c s="8" r="N581"/>
      <c s="8" r="O581"/>
      <c s="8" r="P581"/>
      <c s="8" r="Q581"/>
      <c s="8" r="R581"/>
      <c s="8" r="S581"/>
      <c s="8" r="T581"/>
      <c s="8" r="U581"/>
      <c s="8" r="V581"/>
      <c s="8" r="W581"/>
      <c s="8" r="X581"/>
      <c s="8" r="Y581"/>
      <c s="8" r="Z581"/>
      <c s="8" r="AA581"/>
    </row>
    <row r="582">
      <c t="s" s="7" r="A582">
        <v>2039</v>
      </c>
      <c t="s" s="7" r="B582">
        <v>2040</v>
      </c>
      <c t="s" s="7" r="C582">
        <v>2041</v>
      </c>
      <c s="8" r="D582"/>
      <c s="8" r="E582"/>
      <c s="8" r="F582"/>
      <c s="8" r="G582"/>
      <c s="8" r="H582"/>
      <c s="8" r="I582"/>
      <c s="8" r="J582"/>
      <c s="8" r="K582"/>
      <c s="8" r="L582"/>
      <c s="8" r="M582"/>
      <c s="8" r="N582"/>
      <c s="8" r="O582"/>
      <c s="8" r="P582"/>
      <c s="8" r="Q582"/>
      <c s="8" r="R582"/>
      <c s="8" r="S582"/>
      <c s="8" r="T582"/>
      <c s="8" r="U582"/>
      <c s="8" r="V582"/>
      <c s="8" r="W582"/>
      <c s="8" r="X582"/>
      <c s="8" r="Y582"/>
      <c s="8" r="Z582"/>
      <c s="8" r="AA582"/>
    </row>
    <row r="583">
      <c t="s" s="7" r="A583">
        <v>2042</v>
      </c>
      <c t="s" s="7" r="B583">
        <v>2043</v>
      </c>
      <c t="s" s="7" r="C583">
        <v>2044</v>
      </c>
      <c s="8" r="D583"/>
      <c s="8" r="E583"/>
      <c s="8" r="F583"/>
      <c s="8" r="G583"/>
      <c s="8" r="H583"/>
      <c s="8" r="I583"/>
      <c s="8" r="J583"/>
      <c s="8" r="K583"/>
      <c s="8" r="L583"/>
      <c s="8" r="M583"/>
      <c s="8" r="N583"/>
      <c s="8" r="O583"/>
      <c s="8" r="P583"/>
      <c s="8" r="Q583"/>
      <c s="8" r="R583"/>
      <c s="8" r="S583"/>
      <c s="8" r="T583"/>
      <c s="8" r="U583"/>
      <c s="8" r="V583"/>
      <c s="8" r="W583"/>
      <c s="8" r="X583"/>
      <c s="8" r="Y583"/>
      <c s="8" r="Z583"/>
      <c s="8" r="AA583"/>
    </row>
    <row r="584">
      <c s="8" r="A584"/>
      <c s="8" r="B584"/>
      <c s="8" r="C584"/>
      <c s="8" r="D584"/>
      <c s="8" r="E584"/>
      <c s="8" r="F584"/>
      <c s="8" r="G584"/>
      <c s="8" r="H584"/>
      <c s="8" r="I584"/>
      <c s="8" r="J584"/>
      <c s="8" r="K584"/>
      <c s="8" r="L584"/>
      <c s="8" r="M584"/>
      <c s="8" r="N584"/>
      <c s="8" r="O584"/>
      <c s="8" r="P584"/>
      <c s="8" r="Q584"/>
      <c s="8" r="R584"/>
      <c s="8" r="S584"/>
      <c s="8" r="T584"/>
      <c s="8" r="U584"/>
      <c s="8" r="V584"/>
      <c s="8" r="W584"/>
      <c s="8" r="X584"/>
      <c s="8" r="Y584"/>
      <c s="8" r="Z584"/>
      <c s="8" r="AA584"/>
    </row>
    <row r="585">
      <c s="8" r="A585"/>
      <c s="8" r="B585"/>
      <c s="8" r="C585"/>
      <c s="8" r="D585"/>
      <c s="8" r="E585"/>
      <c s="8" r="F585"/>
      <c s="8" r="G585"/>
      <c s="8" r="H585"/>
      <c s="8" r="I585"/>
      <c s="8" r="J585"/>
      <c s="8" r="K585"/>
      <c s="8" r="L585"/>
      <c s="8" r="M585"/>
      <c s="8" r="N585"/>
      <c s="8" r="O585"/>
      <c s="8" r="P585"/>
      <c s="8" r="Q585"/>
      <c s="8" r="R585"/>
      <c s="8" r="S585"/>
      <c s="8" r="T585"/>
      <c s="8" r="U585"/>
      <c s="8" r="V585"/>
      <c s="8" r="W585"/>
      <c s="8" r="X585"/>
      <c s="8" r="Y585"/>
      <c s="8" r="Z585"/>
      <c s="8" r="AA585"/>
    </row>
    <row r="586">
      <c s="8" r="A586"/>
      <c s="8" r="B586"/>
      <c s="8" r="C586"/>
      <c s="8" r="D586"/>
      <c s="8" r="E586"/>
      <c s="8" r="F586"/>
      <c s="8" r="G586"/>
      <c s="8" r="H586"/>
      <c s="8" r="I586"/>
      <c s="8" r="J586"/>
      <c s="8" r="K586"/>
      <c s="8" r="L586"/>
      <c s="8" r="M586"/>
      <c s="8" r="N586"/>
      <c s="8" r="O586"/>
      <c s="8" r="P586"/>
      <c s="8" r="Q586"/>
      <c s="8" r="R586"/>
      <c s="8" r="S586"/>
      <c s="8" r="T586"/>
      <c s="8" r="U586"/>
      <c s="8" r="V586"/>
      <c s="8" r="W586"/>
      <c s="8" r="X586"/>
      <c s="8" r="Y586"/>
      <c s="8" r="Z586"/>
      <c s="8" r="AA586"/>
    </row>
    <row r="587">
      <c s="8" r="A587"/>
      <c s="8" r="B587"/>
      <c s="8" r="C587"/>
      <c s="8" r="D587"/>
      <c s="8" r="E587"/>
      <c s="8" r="F587"/>
      <c s="8" r="G587"/>
      <c s="8" r="H587"/>
      <c s="8" r="I587"/>
      <c s="8" r="J587"/>
      <c s="8" r="K587"/>
      <c s="8" r="L587"/>
      <c s="8" r="M587"/>
      <c s="8" r="N587"/>
      <c s="8" r="O587"/>
      <c s="8" r="P587"/>
      <c s="8" r="Q587"/>
      <c s="8" r="R587"/>
      <c s="8" r="S587"/>
      <c s="8" r="T587"/>
      <c s="8" r="U587"/>
      <c s="8" r="V587"/>
      <c s="8" r="W587"/>
      <c s="8" r="X587"/>
      <c s="8" r="Y587"/>
      <c s="8" r="Z587"/>
      <c s="8" r="AA587"/>
    </row>
    <row r="588">
      <c s="8" r="A588"/>
      <c s="8" r="B588"/>
      <c s="8" r="C588"/>
      <c s="8" r="D588"/>
      <c s="8" r="E588"/>
      <c s="8" r="F588"/>
      <c s="8" r="G588"/>
      <c s="8" r="H588"/>
      <c s="8" r="I588"/>
      <c s="8" r="J588"/>
      <c s="8" r="K588"/>
      <c s="8" r="L588"/>
      <c s="8" r="M588"/>
      <c s="8" r="N588"/>
      <c s="8" r="O588"/>
      <c s="8" r="P588"/>
      <c s="8" r="Q588"/>
      <c s="8" r="R588"/>
      <c s="8" r="S588"/>
      <c s="8" r="T588"/>
      <c s="8" r="U588"/>
      <c s="8" r="V588"/>
      <c s="8" r="W588"/>
      <c s="8" r="X588"/>
      <c s="8" r="Y588"/>
      <c s="8" r="Z588"/>
      <c s="8" r="AA588"/>
    </row>
    <row r="589">
      <c s="8" r="A589"/>
      <c s="8" r="B589"/>
      <c s="8" r="C589"/>
      <c s="8" r="D589"/>
      <c s="8" r="E589"/>
      <c s="8" r="F589"/>
      <c s="8" r="G589"/>
      <c s="8" r="H589"/>
      <c s="8" r="I589"/>
      <c s="8" r="J589"/>
      <c s="8" r="K589"/>
      <c s="8" r="L589"/>
      <c s="8" r="M589"/>
      <c s="8" r="N589"/>
      <c s="8" r="O589"/>
      <c s="8" r="P589"/>
      <c s="8" r="Q589"/>
      <c s="8" r="R589"/>
      <c s="8" r="S589"/>
      <c s="8" r="T589"/>
      <c s="8" r="U589"/>
      <c s="8" r="V589"/>
      <c s="8" r="W589"/>
      <c s="8" r="X589"/>
      <c s="8" r="Y589"/>
      <c s="8" r="Z589"/>
      <c s="8" r="AA589"/>
    </row>
    <row r="590">
      <c s="8" r="A590"/>
      <c s="8" r="B590"/>
      <c s="8" r="C590"/>
      <c s="8" r="D590"/>
      <c s="8" r="E590"/>
      <c s="8" r="F590"/>
      <c s="8" r="G590"/>
      <c s="8" r="H590"/>
      <c s="8" r="I590"/>
      <c s="8" r="J590"/>
      <c s="8" r="K590"/>
      <c s="8" r="L590"/>
      <c s="8" r="M590"/>
      <c s="8" r="N590"/>
      <c s="8" r="O590"/>
      <c s="8" r="P590"/>
      <c s="8" r="Q590"/>
      <c s="8" r="R590"/>
      <c s="8" r="S590"/>
      <c s="8" r="T590"/>
      <c s="8" r="U590"/>
      <c s="8" r="V590"/>
      <c s="8" r="W590"/>
      <c s="8" r="X590"/>
      <c s="8" r="Y590"/>
      <c s="8" r="Z590"/>
      <c s="8" r="AA590"/>
    </row>
    <row r="591">
      <c s="8" r="A591"/>
      <c s="8" r="B591"/>
      <c s="8" r="C591"/>
      <c s="8" r="D591"/>
      <c s="8" r="E591"/>
      <c s="8" r="F591"/>
      <c s="8" r="G591"/>
      <c s="8" r="H591"/>
      <c s="8" r="I591"/>
      <c s="8" r="J591"/>
      <c s="8" r="K591"/>
      <c s="8" r="L591"/>
      <c s="8" r="M591"/>
      <c s="8" r="N591"/>
      <c s="8" r="O591"/>
      <c s="8" r="P591"/>
      <c s="8" r="Q591"/>
      <c s="8" r="R591"/>
      <c s="8" r="S591"/>
      <c s="8" r="T591"/>
      <c s="8" r="U591"/>
      <c s="8" r="V591"/>
      <c s="8" r="W591"/>
      <c s="8" r="X591"/>
      <c s="8" r="Y591"/>
      <c s="8" r="Z591"/>
      <c s="8" r="AA591"/>
    </row>
    <row r="592">
      <c s="8" r="A592"/>
      <c s="8" r="B592"/>
      <c s="8" r="C592"/>
      <c s="8" r="D592"/>
      <c s="8" r="E592"/>
      <c s="8" r="F592"/>
      <c s="8" r="G592"/>
      <c s="8" r="H592"/>
      <c s="8" r="I592"/>
      <c s="8" r="J592"/>
      <c s="8" r="K592"/>
      <c s="8" r="L592"/>
      <c s="8" r="M592"/>
      <c s="8" r="N592"/>
      <c s="8" r="O592"/>
      <c s="8" r="P592"/>
      <c s="8" r="Q592"/>
      <c s="8" r="R592"/>
      <c s="8" r="S592"/>
      <c s="8" r="T592"/>
      <c s="8" r="U592"/>
      <c s="8" r="V592"/>
      <c s="8" r="W592"/>
      <c s="8" r="X592"/>
      <c s="8" r="Y592"/>
      <c s="8" r="Z592"/>
      <c s="8" r="AA592"/>
    </row>
    <row r="593">
      <c s="8" r="A593"/>
      <c s="8" r="B593"/>
      <c s="8" r="C593"/>
      <c s="8" r="D593"/>
      <c s="8" r="E593"/>
      <c s="8" r="F593"/>
      <c s="8" r="G593"/>
      <c s="8" r="H593"/>
      <c s="8" r="I593"/>
      <c s="8" r="J593"/>
      <c s="8" r="K593"/>
      <c s="8" r="L593"/>
      <c s="8" r="M593"/>
      <c s="8" r="N593"/>
      <c s="8" r="O593"/>
      <c s="8" r="P593"/>
      <c s="8" r="Q593"/>
      <c s="8" r="R593"/>
      <c s="8" r="S593"/>
      <c s="8" r="T593"/>
      <c s="8" r="U593"/>
      <c s="8" r="V593"/>
      <c s="8" r="W593"/>
      <c s="8" r="X593"/>
      <c s="8" r="Y593"/>
      <c s="8" r="Z593"/>
      <c s="8" r="AA593"/>
    </row>
    <row r="594">
      <c s="8" r="A594"/>
      <c s="8" r="B594"/>
      <c s="8" r="C594"/>
      <c s="8" r="D594"/>
      <c s="8" r="E594"/>
      <c s="8" r="F594"/>
      <c s="8" r="G594"/>
      <c s="8" r="H594"/>
      <c s="8" r="I594"/>
      <c s="8" r="J594"/>
      <c s="8" r="K594"/>
      <c s="8" r="L594"/>
      <c s="8" r="M594"/>
      <c s="8" r="N594"/>
      <c s="8" r="O594"/>
      <c s="8" r="P594"/>
      <c s="8" r="Q594"/>
      <c s="8" r="R594"/>
      <c s="8" r="S594"/>
      <c s="8" r="T594"/>
      <c s="8" r="U594"/>
      <c s="8" r="V594"/>
      <c s="8" r="W594"/>
      <c s="8" r="X594"/>
      <c s="8" r="Y594"/>
      <c s="8" r="Z594"/>
      <c s="8" r="AA594"/>
    </row>
    <row r="595">
      <c s="8" r="A595"/>
      <c s="8" r="B595"/>
      <c s="8" r="C595"/>
      <c s="8" r="D595"/>
      <c s="8" r="E595"/>
      <c s="8" r="F595"/>
      <c s="8" r="G595"/>
      <c s="8" r="H595"/>
      <c s="8" r="I595"/>
      <c s="8" r="J595"/>
      <c s="8" r="K595"/>
      <c s="8" r="L595"/>
      <c s="8" r="M595"/>
      <c s="8" r="N595"/>
      <c s="8" r="O595"/>
      <c s="8" r="P595"/>
      <c s="8" r="Q595"/>
      <c s="8" r="R595"/>
      <c s="8" r="S595"/>
      <c s="8" r="T595"/>
      <c s="8" r="U595"/>
      <c s="8" r="V595"/>
      <c s="8" r="W595"/>
      <c s="8" r="X595"/>
      <c s="8" r="Y595"/>
      <c s="8" r="Z595"/>
      <c s="8" r="AA595"/>
    </row>
    <row r="596">
      <c s="8" r="A596"/>
      <c s="8" r="B596"/>
      <c s="8" r="C596"/>
      <c s="8" r="D596"/>
      <c s="8" r="E596"/>
      <c s="8" r="F596"/>
      <c s="8" r="G596"/>
      <c s="8" r="H596"/>
      <c s="8" r="I596"/>
      <c s="8" r="J596"/>
      <c s="8" r="K596"/>
      <c s="8" r="L596"/>
      <c s="8" r="M596"/>
      <c s="8" r="N596"/>
      <c s="8" r="O596"/>
      <c s="8" r="P596"/>
      <c s="8" r="Q596"/>
      <c s="8" r="R596"/>
      <c s="8" r="S596"/>
      <c s="8" r="T596"/>
      <c s="8" r="U596"/>
      <c s="8" r="V596"/>
      <c s="8" r="W596"/>
      <c s="8" r="X596"/>
      <c s="8" r="Y596"/>
      <c s="8" r="Z596"/>
      <c s="8" r="AA596"/>
    </row>
    <row r="597">
      <c s="8" r="A597"/>
      <c s="8" r="B597"/>
      <c s="8" r="C597"/>
      <c s="8" r="D597"/>
      <c s="8" r="E597"/>
      <c s="8" r="F597"/>
      <c s="8" r="G597"/>
      <c s="8" r="H597"/>
      <c s="8" r="I597"/>
      <c s="8" r="J597"/>
      <c s="8" r="K597"/>
      <c s="8" r="L597"/>
      <c s="8" r="M597"/>
      <c s="8" r="N597"/>
      <c s="8" r="O597"/>
      <c s="8" r="P597"/>
      <c s="8" r="Q597"/>
      <c s="8" r="R597"/>
      <c s="8" r="S597"/>
      <c s="8" r="T597"/>
      <c s="8" r="U597"/>
      <c s="8" r="V597"/>
      <c s="8" r="W597"/>
      <c s="8" r="X597"/>
      <c s="8" r="Y597"/>
      <c s="8" r="Z597"/>
      <c s="8" r="AA597"/>
    </row>
    <row r="598">
      <c s="8" r="A598"/>
      <c s="8" r="B598"/>
      <c s="8" r="C598"/>
      <c s="8" r="D598"/>
      <c s="8" r="E598"/>
      <c s="8" r="F598"/>
      <c s="8" r="G598"/>
      <c s="8" r="H598"/>
      <c s="8" r="I598"/>
      <c s="8" r="J598"/>
      <c s="8" r="K598"/>
      <c s="8" r="L598"/>
      <c s="8" r="M598"/>
      <c s="8" r="N598"/>
      <c s="8" r="O598"/>
      <c s="8" r="P598"/>
      <c s="8" r="Q598"/>
      <c s="8" r="R598"/>
      <c s="8" r="S598"/>
      <c s="8" r="T598"/>
      <c s="8" r="U598"/>
      <c s="8" r="V598"/>
      <c s="8" r="W598"/>
      <c s="8" r="X598"/>
      <c s="8" r="Y598"/>
      <c s="8" r="Z598"/>
      <c s="8" r="AA598"/>
    </row>
    <row r="599">
      <c s="8" r="A599"/>
      <c s="8" r="B599"/>
      <c s="8" r="C599"/>
      <c s="8" r="D599"/>
      <c s="8" r="E599"/>
      <c s="8" r="F599"/>
      <c s="8" r="G599"/>
      <c s="8" r="H599"/>
      <c s="8" r="I599"/>
      <c s="8" r="J599"/>
      <c s="8" r="K599"/>
      <c s="8" r="L599"/>
      <c s="8" r="M599"/>
      <c s="8" r="N599"/>
      <c s="8" r="O599"/>
      <c s="8" r="P599"/>
      <c s="8" r="Q599"/>
      <c s="8" r="R599"/>
      <c s="8" r="S599"/>
      <c s="8" r="T599"/>
      <c s="8" r="U599"/>
      <c s="8" r="V599"/>
      <c s="8" r="W599"/>
      <c s="8" r="X599"/>
      <c s="8" r="Y599"/>
      <c s="8" r="Z599"/>
      <c s="8" r="AA599"/>
    </row>
    <row r="600">
      <c s="8" r="A600"/>
      <c s="8" r="B600"/>
      <c s="8" r="C600"/>
      <c s="8" r="D600"/>
      <c s="8" r="E600"/>
      <c s="8" r="F600"/>
      <c s="8" r="G600"/>
      <c s="8" r="H600"/>
      <c s="8" r="I600"/>
      <c s="8" r="J600"/>
      <c s="8" r="K600"/>
      <c s="8" r="L600"/>
      <c s="8" r="M600"/>
      <c s="8" r="N600"/>
      <c s="8" r="O600"/>
      <c s="8" r="P600"/>
      <c s="8" r="Q600"/>
      <c s="8" r="R600"/>
      <c s="8" r="S600"/>
      <c s="8" r="T600"/>
      <c s="8" r="U600"/>
      <c s="8" r="V600"/>
      <c s="8" r="W600"/>
      <c s="8" r="X600"/>
      <c s="8" r="Y600"/>
      <c s="8" r="Z600"/>
      <c s="8" r="AA600"/>
    </row>
    <row r="601">
      <c s="8" r="A601"/>
      <c s="8" r="B601"/>
      <c s="8" r="C601"/>
      <c s="8" r="D601"/>
      <c s="8" r="E601"/>
      <c s="8" r="F601"/>
      <c s="8" r="G601"/>
      <c s="8" r="H601"/>
      <c s="8" r="I601"/>
      <c s="8" r="J601"/>
      <c s="8" r="K601"/>
      <c s="8" r="L601"/>
      <c s="8" r="M601"/>
      <c s="8" r="N601"/>
      <c s="8" r="O601"/>
      <c s="8" r="P601"/>
      <c s="8" r="Q601"/>
      <c s="8" r="R601"/>
      <c s="8" r="S601"/>
      <c s="8" r="T601"/>
      <c s="8" r="U601"/>
      <c s="8" r="V601"/>
      <c s="8" r="W601"/>
      <c s="8" r="X601"/>
      <c s="8" r="Y601"/>
      <c s="8" r="Z601"/>
      <c s="8" r="AA601"/>
    </row>
    <row r="602">
      <c s="8" r="A602"/>
      <c s="8" r="B602"/>
      <c s="8" r="C602"/>
      <c s="8" r="D602"/>
      <c s="8" r="E602"/>
      <c s="8" r="F602"/>
      <c s="8" r="G602"/>
      <c s="8" r="H602"/>
      <c s="8" r="I602"/>
      <c s="8" r="J602"/>
      <c s="8" r="K602"/>
      <c s="8" r="L602"/>
      <c s="8" r="M602"/>
      <c s="8" r="N602"/>
      <c s="8" r="O602"/>
      <c s="8" r="P602"/>
      <c s="8" r="Q602"/>
      <c s="8" r="R602"/>
      <c s="8" r="S602"/>
      <c s="8" r="T602"/>
      <c s="8" r="U602"/>
      <c s="8" r="V602"/>
      <c s="8" r="W602"/>
      <c s="8" r="X602"/>
      <c s="8" r="Y602"/>
      <c s="8" r="Z602"/>
      <c s="8" r="AA602"/>
    </row>
    <row r="603">
      <c s="8" r="A603"/>
      <c s="8" r="B603"/>
      <c s="8" r="C603"/>
      <c s="8" r="D603"/>
      <c s="8" r="E603"/>
      <c s="8" r="F603"/>
      <c s="8" r="G603"/>
      <c s="8" r="H603"/>
      <c s="8" r="I603"/>
      <c s="8" r="J603"/>
      <c s="8" r="K603"/>
      <c s="8" r="L603"/>
      <c s="8" r="M603"/>
      <c s="8" r="N603"/>
      <c s="8" r="O603"/>
      <c s="8" r="P603"/>
      <c s="8" r="Q603"/>
      <c s="8" r="R603"/>
      <c s="8" r="S603"/>
      <c s="8" r="T603"/>
      <c s="8" r="U603"/>
      <c s="8" r="V603"/>
      <c s="8" r="W603"/>
      <c s="8" r="X603"/>
      <c s="8" r="Y603"/>
      <c s="8" r="Z603"/>
      <c s="8" r="AA603"/>
    </row>
    <row r="604">
      <c s="8" r="A604"/>
      <c s="8" r="B604"/>
      <c s="8" r="C604"/>
      <c s="8" r="D604"/>
      <c s="8" r="E604"/>
      <c s="8" r="F604"/>
      <c s="8" r="G604"/>
      <c s="8" r="H604"/>
      <c s="8" r="I604"/>
      <c s="8" r="J604"/>
      <c s="8" r="K604"/>
      <c s="8" r="L604"/>
      <c s="8" r="M604"/>
      <c s="8" r="N604"/>
      <c s="8" r="O604"/>
      <c s="8" r="P604"/>
      <c s="8" r="Q604"/>
      <c s="8" r="R604"/>
      <c s="8" r="S604"/>
      <c s="8" r="T604"/>
      <c s="8" r="U604"/>
      <c s="8" r="V604"/>
      <c s="8" r="W604"/>
      <c s="8" r="X604"/>
      <c s="8" r="Y604"/>
      <c s="8" r="Z604"/>
      <c s="8" r="AA604"/>
    </row>
    <row r="605">
      <c s="8" r="A605"/>
      <c s="8" r="B605"/>
      <c s="8" r="C605"/>
      <c s="8" r="D605"/>
      <c s="8" r="E605"/>
      <c s="8" r="F605"/>
      <c s="8" r="G605"/>
      <c s="8" r="H605"/>
      <c s="8" r="I605"/>
      <c s="8" r="J605"/>
      <c s="8" r="K605"/>
      <c s="8" r="L605"/>
      <c s="8" r="M605"/>
      <c s="8" r="N605"/>
      <c s="8" r="O605"/>
      <c s="8" r="P605"/>
      <c s="8" r="Q605"/>
      <c s="8" r="R605"/>
      <c s="8" r="S605"/>
      <c s="8" r="T605"/>
      <c s="8" r="U605"/>
      <c s="8" r="V605"/>
      <c s="8" r="W605"/>
      <c s="8" r="X605"/>
      <c s="8" r="Y605"/>
      <c s="8" r="Z605"/>
      <c s="8" r="AA605"/>
    </row>
    <row r="606">
      <c s="8" r="A606"/>
      <c s="8" r="B606"/>
      <c s="8" r="C606"/>
      <c s="8" r="D606"/>
      <c s="8" r="E606"/>
      <c s="8" r="F606"/>
      <c s="8" r="G606"/>
      <c s="8" r="H606"/>
      <c s="8" r="I606"/>
      <c s="8" r="J606"/>
      <c s="8" r="K606"/>
      <c s="8" r="L606"/>
      <c s="8" r="M606"/>
      <c s="8" r="N606"/>
      <c s="8" r="O606"/>
      <c s="8" r="P606"/>
      <c s="8" r="Q606"/>
      <c s="8" r="R606"/>
      <c s="8" r="S606"/>
      <c s="8" r="T606"/>
      <c s="8" r="U606"/>
      <c s="8" r="V606"/>
      <c s="8" r="W606"/>
      <c s="8" r="X606"/>
      <c s="8" r="Y606"/>
      <c s="8" r="Z606"/>
      <c s="8" r="AA606"/>
    </row>
    <row r="607">
      <c s="8" r="A607"/>
      <c s="8" r="B607"/>
      <c s="8" r="C607"/>
      <c s="8" r="D607"/>
      <c s="8" r="E607"/>
      <c s="8" r="F607"/>
      <c s="8" r="G607"/>
      <c s="8" r="H607"/>
      <c s="8" r="I607"/>
      <c s="8" r="J607"/>
      <c s="8" r="K607"/>
      <c s="8" r="L607"/>
      <c s="8" r="M607"/>
      <c s="8" r="N607"/>
      <c s="8" r="O607"/>
      <c s="8" r="P607"/>
      <c s="8" r="Q607"/>
      <c s="8" r="R607"/>
      <c s="8" r="S607"/>
      <c s="8" r="T607"/>
      <c s="8" r="U607"/>
      <c s="8" r="V607"/>
      <c s="8" r="W607"/>
      <c s="8" r="X607"/>
      <c s="8" r="Y607"/>
      <c s="8" r="Z607"/>
      <c s="8" r="AA607"/>
    </row>
    <row r="608">
      <c s="8" r="A608"/>
      <c s="8" r="B608"/>
      <c s="8" r="C608"/>
      <c s="8" r="D608"/>
      <c s="8" r="E608"/>
      <c s="8" r="F608"/>
      <c s="8" r="G608"/>
      <c s="8" r="H608"/>
      <c s="8" r="I608"/>
      <c s="8" r="J608"/>
      <c s="8" r="K608"/>
      <c s="8" r="L608"/>
      <c s="8" r="M608"/>
      <c s="8" r="N608"/>
      <c s="8" r="O608"/>
      <c s="8" r="P608"/>
      <c s="8" r="Q608"/>
      <c s="8" r="R608"/>
      <c s="8" r="S608"/>
      <c s="8" r="T608"/>
      <c s="8" r="U608"/>
      <c s="8" r="V608"/>
      <c s="8" r="W608"/>
      <c s="8" r="X608"/>
      <c s="8" r="Y608"/>
      <c s="8" r="Z608"/>
      <c s="8" r="AA608"/>
    </row>
    <row r="609">
      <c s="8" r="A609"/>
      <c s="8" r="B609"/>
      <c s="8" r="C609"/>
      <c s="8" r="D609"/>
      <c s="8" r="E609"/>
      <c s="8" r="F609"/>
      <c s="8" r="G609"/>
      <c s="8" r="H609"/>
      <c s="8" r="I609"/>
      <c s="8" r="J609"/>
      <c s="8" r="K609"/>
      <c s="8" r="L609"/>
      <c s="8" r="M609"/>
      <c s="8" r="N609"/>
      <c s="8" r="O609"/>
      <c s="8" r="P609"/>
      <c s="8" r="Q609"/>
      <c s="8" r="R609"/>
      <c s="8" r="S609"/>
      <c s="8" r="T609"/>
      <c s="8" r="U609"/>
      <c s="8" r="V609"/>
      <c s="8" r="W609"/>
      <c s="8" r="X609"/>
      <c s="8" r="Y609"/>
      <c s="8" r="Z609"/>
      <c s="8" r="AA609"/>
    </row>
    <row r="610">
      <c s="8" r="A610"/>
      <c s="8" r="B610"/>
      <c s="8" r="C610"/>
      <c s="8" r="D610"/>
      <c s="8" r="E610"/>
      <c s="8" r="F610"/>
      <c s="8" r="G610"/>
      <c s="8" r="H610"/>
      <c s="8" r="I610"/>
      <c s="8" r="J610"/>
      <c s="8" r="K610"/>
      <c s="8" r="L610"/>
      <c s="8" r="M610"/>
      <c s="8" r="N610"/>
      <c s="8" r="O610"/>
      <c s="8" r="P610"/>
      <c s="8" r="Q610"/>
      <c s="8" r="R610"/>
      <c s="8" r="S610"/>
      <c s="8" r="T610"/>
      <c s="8" r="U610"/>
      <c s="8" r="V610"/>
      <c s="8" r="W610"/>
      <c s="8" r="X610"/>
      <c s="8" r="Y610"/>
      <c s="8" r="Z610"/>
      <c s="8" r="AA610"/>
    </row>
    <row r="611">
      <c s="8" r="A611"/>
      <c s="8" r="B611"/>
      <c s="8" r="C611"/>
      <c s="8" r="D611"/>
      <c s="8" r="E611"/>
      <c s="8" r="F611"/>
      <c s="8" r="G611"/>
      <c s="8" r="H611"/>
      <c s="8" r="I611"/>
      <c s="8" r="J611"/>
      <c s="8" r="K611"/>
      <c s="8" r="L611"/>
      <c s="8" r="M611"/>
      <c s="8" r="N611"/>
      <c s="8" r="O611"/>
      <c s="8" r="P611"/>
      <c s="8" r="Q611"/>
      <c s="8" r="R611"/>
      <c s="8" r="S611"/>
      <c s="8" r="T611"/>
      <c s="8" r="U611"/>
      <c s="8" r="V611"/>
      <c s="8" r="W611"/>
      <c s="8" r="X611"/>
      <c s="8" r="Y611"/>
      <c s="8" r="Z611"/>
      <c s="8" r="AA611"/>
    </row>
    <row r="612">
      <c s="8" r="A612"/>
      <c s="8" r="B612"/>
      <c s="8" r="C612"/>
      <c s="8" r="D612"/>
      <c s="8" r="E612"/>
      <c s="8" r="F612"/>
      <c s="8" r="G612"/>
      <c s="8" r="H612"/>
      <c s="8" r="I612"/>
      <c s="8" r="J612"/>
      <c s="8" r="K612"/>
      <c s="8" r="L612"/>
      <c s="8" r="M612"/>
      <c s="8" r="N612"/>
      <c s="8" r="O612"/>
      <c s="8" r="P612"/>
      <c s="8" r="Q612"/>
      <c s="8" r="R612"/>
      <c s="8" r="S612"/>
      <c s="8" r="T612"/>
      <c s="8" r="U612"/>
      <c s="8" r="V612"/>
      <c s="8" r="W612"/>
      <c s="8" r="X612"/>
      <c s="8" r="Y612"/>
      <c s="8" r="Z612"/>
      <c s="8" r="AA612"/>
    </row>
    <row r="613">
      <c s="8" r="A613"/>
      <c s="8" r="B613"/>
      <c s="8" r="C613"/>
      <c s="8" r="D613"/>
      <c s="8" r="E613"/>
      <c s="8" r="F613"/>
      <c s="8" r="G613"/>
      <c s="8" r="H613"/>
      <c s="8" r="I613"/>
      <c s="8" r="J613"/>
      <c s="8" r="K613"/>
      <c s="8" r="L613"/>
      <c s="8" r="M613"/>
      <c s="8" r="N613"/>
      <c s="8" r="O613"/>
      <c s="8" r="P613"/>
      <c s="8" r="Q613"/>
      <c s="8" r="R613"/>
      <c s="8" r="S613"/>
      <c s="8" r="T613"/>
      <c s="8" r="U613"/>
      <c s="8" r="V613"/>
      <c s="8" r="W613"/>
      <c s="8" r="X613"/>
      <c s="8" r="Y613"/>
      <c s="8" r="Z613"/>
      <c s="8" r="AA613"/>
    </row>
    <row r="614">
      <c s="8" r="A614"/>
      <c s="8" r="B614"/>
      <c s="8" r="C614"/>
      <c s="8" r="D614"/>
      <c s="8" r="E614"/>
      <c s="8" r="F614"/>
      <c s="8" r="G614"/>
      <c s="8" r="H614"/>
      <c s="8" r="I614"/>
      <c s="8" r="J614"/>
      <c s="8" r="K614"/>
      <c s="8" r="L614"/>
      <c s="8" r="M614"/>
      <c s="8" r="N614"/>
      <c s="8" r="O614"/>
      <c s="8" r="P614"/>
      <c s="8" r="Q614"/>
      <c s="8" r="R614"/>
      <c s="8" r="S614"/>
      <c s="8" r="T614"/>
      <c s="8" r="U614"/>
      <c s="8" r="V614"/>
      <c s="8" r="W614"/>
      <c s="8" r="X614"/>
      <c s="8" r="Y614"/>
      <c s="8" r="Z614"/>
      <c s="8" r="AA614"/>
    </row>
    <row r="615">
      <c s="8" r="A615"/>
      <c s="8" r="B615"/>
      <c s="8" r="C615"/>
      <c s="8" r="D615"/>
      <c s="8" r="E615"/>
      <c s="8" r="F615"/>
      <c s="8" r="G615"/>
      <c s="8" r="H615"/>
      <c s="8" r="I615"/>
      <c s="8" r="J615"/>
      <c s="8" r="K615"/>
      <c s="8" r="L615"/>
      <c s="8" r="M615"/>
      <c s="8" r="N615"/>
      <c s="8" r="O615"/>
      <c s="8" r="P615"/>
      <c s="8" r="Q615"/>
      <c s="8" r="R615"/>
      <c s="8" r="S615"/>
      <c s="8" r="T615"/>
      <c s="8" r="U615"/>
      <c s="8" r="V615"/>
      <c s="8" r="W615"/>
      <c s="8" r="X615"/>
      <c s="8" r="Y615"/>
      <c s="8" r="Z615"/>
      <c s="8" r="AA615"/>
    </row>
    <row r="616">
      <c s="8" r="A616"/>
      <c s="8" r="B616"/>
      <c s="8" r="C616"/>
      <c s="8" r="D616"/>
      <c s="8" r="E616"/>
      <c s="8" r="F616"/>
      <c s="8" r="G616"/>
      <c s="8" r="H616"/>
      <c s="8" r="I616"/>
      <c s="8" r="J616"/>
      <c s="8" r="K616"/>
      <c s="8" r="L616"/>
      <c s="8" r="M616"/>
      <c s="8" r="N616"/>
      <c s="8" r="O616"/>
      <c s="8" r="P616"/>
      <c s="8" r="Q616"/>
      <c s="8" r="R616"/>
      <c s="8" r="S616"/>
      <c s="8" r="T616"/>
      <c s="8" r="U616"/>
      <c s="8" r="V616"/>
      <c s="8" r="W616"/>
      <c s="8" r="X616"/>
      <c s="8" r="Y616"/>
      <c s="8" r="Z616"/>
      <c s="8" r="AA616"/>
    </row>
    <row r="617">
      <c s="8" r="A617"/>
      <c s="8" r="B617"/>
      <c s="8" r="C617"/>
      <c s="8" r="D617"/>
      <c s="8" r="E617"/>
      <c s="8" r="F617"/>
      <c s="8" r="G617"/>
      <c s="8" r="H617"/>
      <c s="8" r="I617"/>
      <c s="8" r="J617"/>
      <c s="8" r="K617"/>
      <c s="8" r="L617"/>
      <c s="8" r="M617"/>
      <c s="8" r="N617"/>
      <c s="8" r="O617"/>
      <c s="8" r="P617"/>
      <c s="8" r="Q617"/>
      <c s="8" r="R617"/>
      <c s="8" r="S617"/>
      <c s="8" r="T617"/>
      <c s="8" r="U617"/>
      <c s="8" r="V617"/>
      <c s="8" r="W617"/>
      <c s="8" r="X617"/>
      <c s="8" r="Y617"/>
      <c s="8" r="Z617"/>
      <c s="8" r="AA617"/>
    </row>
    <row r="618">
      <c s="8" r="A618"/>
      <c s="8" r="B618"/>
      <c s="8" r="C618"/>
      <c s="8" r="D618"/>
      <c s="8" r="E618"/>
      <c s="8" r="F618"/>
      <c s="8" r="G618"/>
      <c s="8" r="H618"/>
      <c s="8" r="I618"/>
      <c s="8" r="J618"/>
      <c s="8" r="K618"/>
      <c s="8" r="L618"/>
      <c s="8" r="M618"/>
      <c s="8" r="N618"/>
      <c s="8" r="O618"/>
      <c s="8" r="P618"/>
      <c s="8" r="Q618"/>
      <c s="8" r="R618"/>
      <c s="8" r="S618"/>
      <c s="8" r="T618"/>
      <c s="8" r="U618"/>
      <c s="8" r="V618"/>
      <c s="8" r="W618"/>
      <c s="8" r="X618"/>
      <c s="8" r="Y618"/>
      <c s="8" r="Z618"/>
      <c s="8" r="AA618"/>
    </row>
    <row r="619">
      <c s="8" r="A619"/>
      <c s="8" r="B619"/>
      <c s="8" r="C619"/>
      <c s="8" r="D619"/>
      <c s="8" r="E619"/>
      <c s="8" r="F619"/>
      <c s="8" r="G619"/>
      <c s="8" r="H619"/>
      <c s="8" r="I619"/>
      <c s="8" r="J619"/>
      <c s="8" r="K619"/>
      <c s="8" r="L619"/>
      <c s="8" r="M619"/>
      <c s="8" r="N619"/>
      <c s="8" r="O619"/>
      <c s="8" r="P619"/>
      <c s="8" r="Q619"/>
      <c s="8" r="R619"/>
      <c s="8" r="S619"/>
      <c s="8" r="T619"/>
      <c s="8" r="U619"/>
      <c s="8" r="V619"/>
      <c s="8" r="W619"/>
      <c s="8" r="X619"/>
      <c s="8" r="Y619"/>
      <c s="8" r="Z619"/>
      <c s="8" r="AA619"/>
    </row>
    <row r="620">
      <c s="8" r="A620"/>
      <c s="8" r="B620"/>
      <c s="8" r="C620"/>
      <c s="8" r="D620"/>
      <c s="8" r="E620"/>
      <c s="8" r="F620"/>
      <c s="8" r="G620"/>
      <c s="8" r="H620"/>
      <c s="8" r="I620"/>
      <c s="8" r="J620"/>
      <c s="8" r="K620"/>
      <c s="8" r="L620"/>
      <c s="8" r="M620"/>
      <c s="8" r="N620"/>
      <c s="8" r="O620"/>
      <c s="8" r="P620"/>
      <c s="8" r="Q620"/>
      <c s="8" r="R620"/>
      <c s="8" r="S620"/>
      <c s="8" r="T620"/>
      <c s="8" r="U620"/>
      <c s="8" r="V620"/>
      <c s="8" r="W620"/>
      <c s="8" r="X620"/>
      <c s="8" r="Y620"/>
      <c s="8" r="Z620"/>
      <c s="8" r="AA620"/>
    </row>
    <row r="621">
      <c s="8" r="A621"/>
      <c s="8" r="B621"/>
      <c s="8" r="C621"/>
      <c s="8" r="D621"/>
      <c s="8" r="E621"/>
      <c s="8" r="F621"/>
      <c s="8" r="G621"/>
      <c s="8" r="H621"/>
      <c s="8" r="I621"/>
      <c s="8" r="J621"/>
      <c s="8" r="K621"/>
      <c s="8" r="L621"/>
      <c s="8" r="M621"/>
      <c s="8" r="N621"/>
      <c s="8" r="O621"/>
      <c s="8" r="P621"/>
      <c s="8" r="Q621"/>
      <c s="8" r="R621"/>
      <c s="8" r="S621"/>
      <c s="8" r="T621"/>
      <c s="8" r="U621"/>
      <c s="8" r="V621"/>
      <c s="8" r="W621"/>
      <c s="8" r="X621"/>
      <c s="8" r="Y621"/>
      <c s="8" r="Z621"/>
      <c s="8" r="AA621"/>
    </row>
    <row r="622">
      <c s="8" r="A622"/>
      <c s="8" r="B622"/>
      <c s="8" r="C622"/>
      <c s="8" r="D622"/>
      <c s="8" r="E622"/>
      <c s="8" r="F622"/>
      <c s="8" r="G622"/>
      <c s="8" r="H622"/>
      <c s="8" r="I622"/>
      <c s="8" r="J622"/>
      <c s="8" r="K622"/>
      <c s="8" r="L622"/>
      <c s="8" r="M622"/>
      <c s="8" r="N622"/>
      <c s="8" r="O622"/>
      <c s="8" r="P622"/>
      <c s="8" r="Q622"/>
      <c s="8" r="R622"/>
      <c s="8" r="S622"/>
      <c s="8" r="T622"/>
      <c s="8" r="U622"/>
      <c s="8" r="V622"/>
      <c s="8" r="W622"/>
      <c s="8" r="X622"/>
      <c s="8" r="Y622"/>
      <c s="8" r="Z622"/>
      <c s="8" r="AA622"/>
    </row>
    <row r="623">
      <c s="8" r="A623"/>
      <c s="8" r="B623"/>
      <c s="8" r="C623"/>
      <c s="8" r="D623"/>
      <c s="8" r="E623"/>
      <c s="8" r="F623"/>
      <c s="8" r="G623"/>
      <c s="8" r="H623"/>
      <c s="8" r="I623"/>
      <c s="8" r="J623"/>
      <c s="8" r="K623"/>
      <c s="8" r="L623"/>
      <c s="8" r="M623"/>
      <c s="8" r="N623"/>
      <c s="8" r="O623"/>
      <c s="8" r="P623"/>
      <c s="8" r="Q623"/>
      <c s="8" r="R623"/>
      <c s="8" r="S623"/>
      <c s="8" r="T623"/>
      <c s="8" r="U623"/>
      <c s="8" r="V623"/>
      <c s="8" r="W623"/>
      <c s="8" r="X623"/>
      <c s="8" r="Y623"/>
      <c s="8" r="Z623"/>
      <c s="8" r="AA623"/>
    </row>
    <row r="624">
      <c s="8" r="A624"/>
      <c s="8" r="B624"/>
      <c s="8" r="C624"/>
      <c s="8" r="D624"/>
      <c s="8" r="E624"/>
      <c s="8" r="F624"/>
      <c s="8" r="G624"/>
      <c s="8" r="H624"/>
      <c s="8" r="I624"/>
      <c s="8" r="J624"/>
      <c s="8" r="K624"/>
      <c s="8" r="L624"/>
      <c s="8" r="M624"/>
      <c s="8" r="N624"/>
      <c s="8" r="O624"/>
      <c s="8" r="P624"/>
      <c s="8" r="Q624"/>
      <c s="8" r="R624"/>
      <c s="8" r="S624"/>
      <c s="8" r="T624"/>
      <c s="8" r="U624"/>
      <c s="8" r="V624"/>
      <c s="8" r="W624"/>
      <c s="8" r="X624"/>
      <c s="8" r="Y624"/>
      <c s="8" r="Z624"/>
      <c s="8" r="AA624"/>
    </row>
    <row r="625">
      <c s="8" r="A625"/>
      <c s="8" r="B625"/>
      <c s="8" r="C625"/>
      <c s="8" r="D625"/>
      <c s="8" r="E625"/>
      <c s="8" r="F625"/>
      <c s="8" r="G625"/>
      <c s="8" r="H625"/>
      <c s="8" r="I625"/>
      <c s="8" r="J625"/>
      <c s="8" r="K625"/>
      <c s="8" r="L625"/>
      <c s="8" r="M625"/>
      <c s="8" r="N625"/>
      <c s="8" r="O625"/>
      <c s="8" r="P625"/>
      <c s="8" r="Q625"/>
      <c s="8" r="R625"/>
      <c s="8" r="S625"/>
      <c s="8" r="T625"/>
      <c s="8" r="U625"/>
      <c s="8" r="V625"/>
      <c s="8" r="W625"/>
      <c s="8" r="X625"/>
      <c s="8" r="Y625"/>
      <c s="8" r="Z625"/>
      <c s="8" r="AA625"/>
    </row>
    <row r="626">
      <c s="8" r="A626"/>
      <c s="8" r="B626"/>
      <c s="8" r="C626"/>
      <c s="8" r="D626"/>
      <c s="8" r="E626"/>
      <c s="8" r="F626"/>
      <c s="8" r="G626"/>
      <c s="8" r="H626"/>
      <c s="8" r="I626"/>
      <c s="8" r="J626"/>
      <c s="8" r="K626"/>
      <c s="8" r="L626"/>
      <c s="8" r="M626"/>
      <c s="8" r="N626"/>
      <c s="8" r="O626"/>
      <c s="8" r="P626"/>
      <c s="8" r="Q626"/>
      <c s="8" r="R626"/>
      <c s="8" r="S626"/>
      <c s="8" r="T626"/>
      <c s="8" r="U626"/>
      <c s="8" r="V626"/>
      <c s="8" r="W626"/>
      <c s="8" r="X626"/>
      <c s="8" r="Y626"/>
      <c s="8" r="Z626"/>
      <c s="8" r="AA626"/>
    </row>
    <row r="627">
      <c s="8" r="A627"/>
      <c s="8" r="B627"/>
      <c s="8" r="C627"/>
      <c s="8" r="D627"/>
      <c s="8" r="E627"/>
      <c s="8" r="F627"/>
      <c s="8" r="G627"/>
      <c s="8" r="H627"/>
      <c s="8" r="I627"/>
      <c s="8" r="J627"/>
      <c s="8" r="K627"/>
      <c s="8" r="L627"/>
      <c s="8" r="M627"/>
      <c s="8" r="N627"/>
      <c s="8" r="O627"/>
      <c s="8" r="P627"/>
      <c s="8" r="Q627"/>
      <c s="8" r="R627"/>
      <c s="8" r="S627"/>
      <c s="8" r="T627"/>
      <c s="8" r="U627"/>
      <c s="8" r="V627"/>
      <c s="8" r="W627"/>
      <c s="8" r="X627"/>
      <c s="8" r="Y627"/>
      <c s="8" r="Z627"/>
      <c s="8" r="AA627"/>
    </row>
    <row r="628">
      <c s="8" r="A628"/>
      <c s="8" r="B628"/>
      <c s="8" r="C628"/>
      <c s="8" r="D628"/>
      <c s="8" r="E628"/>
      <c s="8" r="F628"/>
      <c s="8" r="G628"/>
      <c s="8" r="H628"/>
      <c s="8" r="I628"/>
      <c s="8" r="J628"/>
      <c s="8" r="K628"/>
      <c s="8" r="L628"/>
      <c s="8" r="M628"/>
      <c s="8" r="N628"/>
      <c s="8" r="O628"/>
      <c s="8" r="P628"/>
      <c s="8" r="Q628"/>
      <c s="8" r="R628"/>
      <c s="8" r="S628"/>
      <c s="8" r="T628"/>
      <c s="8" r="U628"/>
      <c s="8" r="V628"/>
      <c s="8" r="W628"/>
      <c s="8" r="X628"/>
      <c s="8" r="Y628"/>
      <c s="8" r="Z628"/>
      <c s="8" r="AA628"/>
    </row>
    <row r="629">
      <c s="8" r="A629"/>
      <c s="8" r="B629"/>
      <c s="8" r="C629"/>
      <c s="8" r="D629"/>
      <c s="8" r="E629"/>
      <c s="8" r="F629"/>
      <c s="8" r="G629"/>
      <c s="8" r="H629"/>
      <c s="8" r="I629"/>
      <c s="8" r="J629"/>
      <c s="8" r="K629"/>
      <c s="8" r="L629"/>
      <c s="8" r="M629"/>
      <c s="8" r="N629"/>
      <c s="8" r="O629"/>
      <c s="8" r="P629"/>
      <c s="8" r="Q629"/>
      <c s="8" r="R629"/>
      <c s="8" r="S629"/>
      <c s="8" r="T629"/>
      <c s="8" r="U629"/>
      <c s="8" r="V629"/>
      <c s="8" r="W629"/>
      <c s="8" r="X629"/>
      <c s="8" r="Y629"/>
      <c s="8" r="Z629"/>
      <c s="8" r="AA629"/>
    </row>
    <row r="630">
      <c s="8" r="A630"/>
      <c s="8" r="B630"/>
      <c s="8" r="C630"/>
      <c s="8" r="D630"/>
      <c s="8" r="E630"/>
      <c s="8" r="F630"/>
      <c s="8" r="G630"/>
      <c s="8" r="H630"/>
      <c s="8" r="I630"/>
      <c s="8" r="J630"/>
      <c s="8" r="K630"/>
      <c s="8" r="L630"/>
      <c s="8" r="M630"/>
      <c s="8" r="N630"/>
      <c s="8" r="O630"/>
      <c s="8" r="P630"/>
      <c s="8" r="Q630"/>
      <c s="8" r="R630"/>
      <c s="8" r="S630"/>
      <c s="8" r="T630"/>
      <c s="8" r="U630"/>
      <c s="8" r="V630"/>
      <c s="8" r="W630"/>
      <c s="8" r="X630"/>
      <c s="8" r="Y630"/>
      <c s="8" r="Z630"/>
      <c s="8" r="AA630"/>
    </row>
    <row r="631">
      <c s="8" r="A631"/>
      <c s="8" r="B631"/>
      <c s="8" r="C631"/>
      <c s="8" r="D631"/>
      <c s="8" r="E631"/>
      <c s="8" r="F631"/>
      <c s="8" r="G631"/>
      <c s="8" r="H631"/>
      <c s="8" r="I631"/>
      <c s="8" r="J631"/>
      <c s="8" r="K631"/>
      <c s="8" r="L631"/>
      <c s="8" r="M631"/>
      <c s="8" r="N631"/>
      <c s="8" r="O631"/>
      <c s="8" r="P631"/>
      <c s="8" r="Q631"/>
      <c s="8" r="R631"/>
      <c s="8" r="S631"/>
      <c s="8" r="T631"/>
      <c s="8" r="U631"/>
      <c s="8" r="V631"/>
      <c s="8" r="W631"/>
      <c s="8" r="X631"/>
      <c s="8" r="Y631"/>
      <c s="8" r="Z631"/>
      <c s="8" r="AA631"/>
    </row>
    <row r="632">
      <c s="8" r="A632"/>
      <c s="8" r="B632"/>
      <c s="8" r="C632"/>
      <c s="8" r="D632"/>
      <c s="8" r="E632"/>
      <c s="8" r="F632"/>
      <c s="8" r="G632"/>
      <c s="8" r="H632"/>
      <c s="8" r="I632"/>
      <c s="8" r="J632"/>
      <c s="8" r="K632"/>
      <c s="8" r="L632"/>
      <c s="8" r="M632"/>
      <c s="8" r="N632"/>
      <c s="8" r="O632"/>
      <c s="8" r="P632"/>
      <c s="8" r="Q632"/>
      <c s="8" r="R632"/>
      <c s="8" r="S632"/>
      <c s="8" r="T632"/>
      <c s="8" r="U632"/>
      <c s="8" r="V632"/>
      <c s="8" r="W632"/>
      <c s="8" r="X632"/>
      <c s="8" r="Y632"/>
      <c s="8" r="Z632"/>
      <c s="8" r="AA632"/>
    </row>
    <row r="633">
      <c s="8" r="A633"/>
      <c s="8" r="B633"/>
      <c s="8" r="C633"/>
      <c s="8" r="D633"/>
      <c s="8" r="E633"/>
      <c s="8" r="F633"/>
      <c s="8" r="G633"/>
      <c s="8" r="H633"/>
      <c s="8" r="I633"/>
      <c s="8" r="J633"/>
      <c s="8" r="K633"/>
      <c s="8" r="L633"/>
      <c s="8" r="M633"/>
      <c s="8" r="N633"/>
      <c s="8" r="O633"/>
      <c s="8" r="P633"/>
      <c s="8" r="Q633"/>
      <c s="8" r="R633"/>
      <c s="8" r="S633"/>
      <c s="8" r="T633"/>
      <c s="8" r="U633"/>
      <c s="8" r="V633"/>
      <c s="8" r="W633"/>
      <c s="8" r="X633"/>
      <c s="8" r="Y633"/>
      <c s="8" r="Z633"/>
      <c s="8" r="AA633"/>
    </row>
    <row r="634">
      <c s="8" r="A634"/>
      <c s="8" r="B634"/>
      <c s="8" r="C634"/>
      <c s="8" r="D634"/>
      <c s="8" r="E634"/>
      <c s="8" r="F634"/>
      <c s="8" r="G634"/>
      <c s="8" r="H634"/>
      <c s="8" r="I634"/>
      <c s="8" r="J634"/>
      <c s="8" r="K634"/>
      <c s="8" r="L634"/>
      <c s="8" r="M634"/>
      <c s="8" r="N634"/>
      <c s="8" r="O634"/>
      <c s="8" r="P634"/>
      <c s="8" r="Q634"/>
      <c s="8" r="R634"/>
      <c s="8" r="S634"/>
      <c s="8" r="T634"/>
      <c s="8" r="U634"/>
      <c s="8" r="V634"/>
      <c s="8" r="W634"/>
      <c s="8" r="X634"/>
      <c s="8" r="Y634"/>
      <c s="8" r="Z634"/>
      <c s="8" r="AA634"/>
    </row>
    <row r="635">
      <c s="8" r="A635"/>
      <c s="8" r="B635"/>
      <c s="8" r="C635"/>
      <c s="8" r="D635"/>
      <c s="8" r="E635"/>
      <c s="8" r="F635"/>
      <c s="8" r="G635"/>
      <c s="8" r="H635"/>
      <c s="8" r="I635"/>
      <c s="8" r="J635"/>
      <c s="8" r="K635"/>
      <c s="8" r="L635"/>
      <c s="8" r="M635"/>
      <c s="8" r="N635"/>
      <c s="8" r="O635"/>
      <c s="8" r="P635"/>
      <c s="8" r="Q635"/>
      <c s="8" r="R635"/>
      <c s="8" r="S635"/>
      <c s="8" r="T635"/>
      <c s="8" r="U635"/>
      <c s="8" r="V635"/>
      <c s="8" r="W635"/>
      <c s="8" r="X635"/>
      <c s="8" r="Y635"/>
      <c s="8" r="Z635"/>
      <c s="8" r="AA635"/>
    </row>
    <row r="636">
      <c s="8" r="A636"/>
      <c s="8" r="B636"/>
      <c s="8" r="C636"/>
      <c s="8" r="D636"/>
      <c s="8" r="E636"/>
      <c s="8" r="F636"/>
      <c s="8" r="G636"/>
      <c s="8" r="H636"/>
      <c s="8" r="I636"/>
      <c s="8" r="J636"/>
      <c s="8" r="K636"/>
      <c s="8" r="L636"/>
      <c s="8" r="M636"/>
      <c s="8" r="N636"/>
      <c s="8" r="O636"/>
      <c s="8" r="P636"/>
      <c s="8" r="Q636"/>
      <c s="8" r="R636"/>
      <c s="8" r="S636"/>
      <c s="8" r="T636"/>
      <c s="8" r="U636"/>
      <c s="8" r="V636"/>
      <c s="8" r="W636"/>
      <c s="8" r="X636"/>
      <c s="8" r="Y636"/>
      <c s="8" r="Z636"/>
      <c s="8" r="AA636"/>
    </row>
    <row r="637">
      <c s="8" r="A637"/>
      <c s="8" r="B637"/>
      <c s="8" r="C637"/>
      <c s="8" r="D637"/>
      <c s="8" r="E637"/>
      <c s="8" r="F637"/>
      <c s="8" r="G637"/>
      <c s="8" r="H637"/>
      <c s="8" r="I637"/>
      <c s="8" r="J637"/>
      <c s="8" r="K637"/>
      <c s="8" r="L637"/>
      <c s="8" r="M637"/>
      <c s="8" r="N637"/>
      <c s="8" r="O637"/>
      <c s="8" r="P637"/>
      <c s="8" r="Q637"/>
      <c s="8" r="R637"/>
      <c s="8" r="S637"/>
      <c s="8" r="T637"/>
      <c s="8" r="U637"/>
      <c s="8" r="V637"/>
      <c s="8" r="W637"/>
      <c s="8" r="X637"/>
      <c s="8" r="Y637"/>
      <c s="8" r="Z637"/>
      <c s="8" r="AA637"/>
    </row>
    <row r="638">
      <c s="8" r="A638"/>
      <c s="8" r="B638"/>
      <c s="8" r="C638"/>
      <c s="8" r="D638"/>
      <c s="8" r="E638"/>
      <c s="8" r="F638"/>
      <c s="8" r="G638"/>
      <c s="8" r="H638"/>
      <c s="8" r="I638"/>
      <c s="8" r="J638"/>
      <c s="8" r="K638"/>
      <c s="8" r="L638"/>
      <c s="8" r="M638"/>
      <c s="8" r="N638"/>
      <c s="8" r="O638"/>
      <c s="8" r="P638"/>
      <c s="8" r="Q638"/>
      <c s="8" r="R638"/>
      <c s="8" r="S638"/>
      <c s="8" r="T638"/>
      <c s="8" r="U638"/>
      <c s="8" r="V638"/>
      <c s="8" r="W638"/>
      <c s="8" r="X638"/>
      <c s="8" r="Y638"/>
      <c s="8" r="Z638"/>
      <c s="8" r="AA638"/>
    </row>
    <row r="639">
      <c s="8" r="A639"/>
      <c s="8" r="B639"/>
      <c s="8" r="C639"/>
      <c s="8" r="D639"/>
      <c s="8" r="E639"/>
      <c s="8" r="F639"/>
      <c s="8" r="G639"/>
      <c s="8" r="H639"/>
      <c s="8" r="I639"/>
      <c s="8" r="J639"/>
      <c s="8" r="K639"/>
      <c s="8" r="L639"/>
      <c s="8" r="M639"/>
      <c s="8" r="N639"/>
      <c s="8" r="O639"/>
      <c s="8" r="P639"/>
      <c s="8" r="Q639"/>
      <c s="8" r="R639"/>
      <c s="8" r="S639"/>
      <c s="8" r="T639"/>
      <c s="8" r="U639"/>
      <c s="8" r="V639"/>
      <c s="8" r="W639"/>
      <c s="8" r="X639"/>
      <c s="8" r="Y639"/>
      <c s="8" r="Z639"/>
      <c s="8" r="AA639"/>
    </row>
    <row r="640">
      <c s="8" r="A640"/>
      <c s="8" r="B640"/>
      <c s="8" r="C640"/>
      <c s="8" r="D640"/>
      <c s="8" r="E640"/>
      <c s="8" r="F640"/>
      <c s="8" r="G640"/>
      <c s="8" r="H640"/>
      <c s="8" r="I640"/>
      <c s="8" r="J640"/>
      <c s="8" r="K640"/>
      <c s="8" r="L640"/>
      <c s="8" r="M640"/>
      <c s="8" r="N640"/>
      <c s="8" r="O640"/>
      <c s="8" r="P640"/>
      <c s="8" r="Q640"/>
      <c s="8" r="R640"/>
      <c s="8" r="S640"/>
      <c s="8" r="T640"/>
      <c s="8" r="U640"/>
      <c s="8" r="V640"/>
      <c s="8" r="W640"/>
      <c s="8" r="X640"/>
      <c s="8" r="Y640"/>
      <c s="8" r="Z640"/>
      <c s="8" r="AA640"/>
    </row>
    <row r="641">
      <c s="8" r="A641"/>
      <c s="8" r="B641"/>
      <c s="8" r="C641"/>
      <c s="8" r="D641"/>
      <c s="8" r="E641"/>
      <c s="8" r="F641"/>
      <c s="8" r="G641"/>
      <c s="8" r="H641"/>
      <c s="8" r="I641"/>
      <c s="8" r="J641"/>
      <c s="8" r="K641"/>
      <c s="8" r="L641"/>
      <c s="8" r="M641"/>
      <c s="8" r="N641"/>
      <c s="8" r="O641"/>
      <c s="8" r="P641"/>
      <c s="8" r="Q641"/>
      <c s="8" r="R641"/>
      <c s="8" r="S641"/>
      <c s="8" r="T641"/>
      <c s="8" r="U641"/>
      <c s="8" r="V641"/>
      <c s="8" r="W641"/>
      <c s="8" r="X641"/>
      <c s="8" r="Y641"/>
      <c s="8" r="Z641"/>
      <c s="8" r="AA641"/>
    </row>
    <row r="642">
      <c s="8" r="A642"/>
      <c s="8" r="B642"/>
      <c s="8" r="C642"/>
      <c s="8" r="D642"/>
      <c s="8" r="E642"/>
      <c s="8" r="F642"/>
      <c s="8" r="G642"/>
      <c s="8" r="H642"/>
      <c s="8" r="I642"/>
      <c s="8" r="J642"/>
      <c s="8" r="K642"/>
      <c s="8" r="L642"/>
      <c s="8" r="M642"/>
      <c s="8" r="N642"/>
      <c s="8" r="O642"/>
      <c s="8" r="P642"/>
      <c s="8" r="Q642"/>
      <c s="8" r="R642"/>
      <c s="8" r="S642"/>
      <c s="8" r="T642"/>
      <c s="8" r="U642"/>
      <c s="8" r="V642"/>
      <c s="8" r="W642"/>
      <c s="8" r="X642"/>
      <c s="8" r="Y642"/>
      <c s="8" r="Z642"/>
      <c s="8" r="AA642"/>
    </row>
    <row r="643">
      <c s="8" r="A643"/>
      <c s="8" r="B643"/>
      <c s="8" r="C643"/>
      <c s="8" r="D643"/>
      <c s="8" r="E643"/>
      <c s="8" r="F643"/>
      <c s="8" r="G643"/>
      <c s="8" r="H643"/>
      <c s="8" r="I643"/>
      <c s="8" r="J643"/>
      <c s="8" r="K643"/>
      <c s="8" r="L643"/>
      <c s="8" r="M643"/>
      <c s="8" r="N643"/>
      <c s="8" r="O643"/>
      <c s="8" r="P643"/>
      <c s="8" r="Q643"/>
      <c s="8" r="R643"/>
      <c s="8" r="S643"/>
      <c s="8" r="T643"/>
      <c s="8" r="U643"/>
      <c s="8" r="V643"/>
      <c s="8" r="W643"/>
      <c s="8" r="X643"/>
      <c s="8" r="Y643"/>
      <c s="8" r="Z643"/>
      <c s="8" r="AA643"/>
    </row>
    <row r="644">
      <c s="8" r="A644"/>
      <c s="8" r="B644"/>
      <c s="8" r="C644"/>
      <c s="8" r="D644"/>
      <c s="8" r="E644"/>
      <c s="8" r="F644"/>
      <c s="8" r="G644"/>
      <c s="8" r="H644"/>
      <c s="8" r="I644"/>
      <c s="8" r="J644"/>
      <c s="8" r="K644"/>
      <c s="8" r="L644"/>
      <c s="8" r="M644"/>
      <c s="8" r="N644"/>
      <c s="8" r="O644"/>
      <c s="8" r="P644"/>
      <c s="8" r="Q644"/>
      <c s="8" r="R644"/>
      <c s="8" r="S644"/>
      <c s="8" r="T644"/>
      <c s="8" r="U644"/>
      <c s="8" r="V644"/>
      <c s="8" r="W644"/>
      <c s="8" r="X644"/>
      <c s="8" r="Y644"/>
      <c s="8" r="Z644"/>
      <c s="8" r="AA644"/>
    </row>
    <row r="645">
      <c s="8" r="A645"/>
      <c s="8" r="B645"/>
      <c s="8" r="C645"/>
      <c s="8" r="D645"/>
      <c s="8" r="E645"/>
      <c s="8" r="F645"/>
      <c s="8" r="G645"/>
      <c s="8" r="H645"/>
      <c s="8" r="I645"/>
      <c s="8" r="J645"/>
      <c s="8" r="K645"/>
      <c s="8" r="L645"/>
      <c s="8" r="M645"/>
      <c s="8" r="N645"/>
      <c s="8" r="O645"/>
      <c s="8" r="P645"/>
      <c s="8" r="Q645"/>
      <c s="8" r="R645"/>
      <c s="8" r="S645"/>
      <c s="8" r="T645"/>
      <c s="8" r="U645"/>
      <c s="8" r="V645"/>
      <c s="8" r="W645"/>
      <c s="8" r="X645"/>
      <c s="8" r="Y645"/>
      <c s="8" r="Z645"/>
      <c s="8" r="AA645"/>
    </row>
    <row r="646">
      <c s="8" r="A646"/>
      <c s="8" r="B646"/>
      <c s="8" r="C646"/>
      <c s="8" r="D646"/>
      <c s="8" r="E646"/>
      <c s="8" r="F646"/>
      <c s="8" r="G646"/>
      <c s="8" r="H646"/>
      <c s="8" r="I646"/>
      <c s="8" r="J646"/>
      <c s="8" r="K646"/>
      <c s="8" r="L646"/>
      <c s="8" r="M646"/>
      <c s="8" r="N646"/>
      <c s="8" r="O646"/>
      <c s="8" r="P646"/>
      <c s="8" r="Q646"/>
      <c s="8" r="R646"/>
      <c s="8" r="S646"/>
      <c s="8" r="T646"/>
      <c s="8" r="U646"/>
      <c s="8" r="V646"/>
      <c s="8" r="W646"/>
      <c s="8" r="X646"/>
      <c s="8" r="Y646"/>
      <c s="8" r="Z646"/>
      <c s="8" r="AA646"/>
    </row>
    <row r="647">
      <c s="8" r="A647"/>
      <c s="8" r="B647"/>
      <c s="8" r="C647"/>
      <c s="8" r="D647"/>
      <c s="8" r="E647"/>
      <c s="8" r="F647"/>
      <c s="8" r="G647"/>
      <c s="8" r="H647"/>
      <c s="8" r="I647"/>
      <c s="8" r="J647"/>
      <c s="8" r="K647"/>
      <c s="8" r="L647"/>
      <c s="8" r="M647"/>
      <c s="8" r="N647"/>
      <c s="8" r="O647"/>
      <c s="8" r="P647"/>
      <c s="8" r="Q647"/>
      <c s="8" r="R647"/>
      <c s="8" r="S647"/>
      <c s="8" r="T647"/>
      <c s="8" r="U647"/>
      <c s="8" r="V647"/>
      <c s="8" r="W647"/>
      <c s="8" r="X647"/>
      <c s="8" r="Y647"/>
      <c s="8" r="Z647"/>
      <c s="8" r="AA647"/>
    </row>
    <row r="648">
      <c s="8" r="A648"/>
      <c s="8" r="B648"/>
      <c s="8" r="C648"/>
      <c s="8" r="D648"/>
      <c s="8" r="E648"/>
      <c s="8" r="F648"/>
      <c s="8" r="G648"/>
      <c s="8" r="H648"/>
      <c s="8" r="I648"/>
      <c s="8" r="J648"/>
      <c s="8" r="K648"/>
      <c s="8" r="L648"/>
      <c s="8" r="M648"/>
      <c s="8" r="N648"/>
      <c s="8" r="O648"/>
      <c s="8" r="P648"/>
      <c s="8" r="Q648"/>
      <c s="8" r="R648"/>
      <c s="8" r="S648"/>
      <c s="8" r="T648"/>
      <c s="8" r="U648"/>
      <c s="8" r="V648"/>
      <c s="8" r="W648"/>
      <c s="8" r="X648"/>
      <c s="8" r="Y648"/>
      <c s="8" r="Z648"/>
      <c s="8" r="AA648"/>
    </row>
    <row r="649">
      <c s="8" r="A649"/>
      <c s="8" r="B649"/>
      <c s="8" r="C649"/>
      <c s="8" r="D649"/>
      <c s="8" r="E649"/>
      <c s="8" r="F649"/>
      <c s="8" r="G649"/>
      <c s="8" r="H649"/>
      <c s="8" r="I649"/>
      <c s="8" r="J649"/>
      <c s="8" r="K649"/>
      <c s="8" r="L649"/>
      <c s="8" r="M649"/>
      <c s="8" r="N649"/>
      <c s="8" r="O649"/>
      <c s="8" r="P649"/>
      <c s="8" r="Q649"/>
      <c s="8" r="R649"/>
      <c s="8" r="S649"/>
      <c s="8" r="T649"/>
      <c s="8" r="U649"/>
      <c s="8" r="V649"/>
      <c s="8" r="W649"/>
      <c s="8" r="X649"/>
      <c s="8" r="Y649"/>
      <c s="8" r="Z649"/>
      <c s="8" r="AA649"/>
    </row>
    <row r="650">
      <c s="8" r="A650"/>
      <c s="8" r="B650"/>
      <c s="8" r="C650"/>
      <c s="8" r="D650"/>
      <c s="8" r="E650"/>
      <c s="8" r="F650"/>
      <c s="8" r="G650"/>
      <c s="8" r="H650"/>
      <c s="8" r="I650"/>
      <c s="8" r="J650"/>
      <c s="8" r="K650"/>
      <c s="8" r="L650"/>
      <c s="8" r="M650"/>
      <c s="8" r="N650"/>
      <c s="8" r="O650"/>
      <c s="8" r="P650"/>
      <c s="8" r="Q650"/>
      <c s="8" r="R650"/>
      <c s="8" r="S650"/>
      <c s="8" r="T650"/>
      <c s="8" r="U650"/>
      <c s="8" r="V650"/>
      <c s="8" r="W650"/>
      <c s="8" r="X650"/>
      <c s="8" r="Y650"/>
      <c s="8" r="Z650"/>
      <c s="8" r="AA650"/>
    </row>
    <row r="651">
      <c s="8" r="A651"/>
      <c s="8" r="B651"/>
      <c s="8" r="C651"/>
      <c s="8" r="D651"/>
      <c s="8" r="E651"/>
      <c s="8" r="F651"/>
      <c s="8" r="G651"/>
      <c s="8" r="H651"/>
      <c s="8" r="I651"/>
      <c s="8" r="J651"/>
      <c s="8" r="K651"/>
      <c s="8" r="L651"/>
      <c s="8" r="M651"/>
      <c s="8" r="N651"/>
      <c s="8" r="O651"/>
      <c s="8" r="P651"/>
      <c s="8" r="Q651"/>
      <c s="8" r="R651"/>
      <c s="8" r="S651"/>
      <c s="8" r="T651"/>
      <c s="8" r="U651"/>
      <c s="8" r="V651"/>
      <c s="8" r="W651"/>
      <c s="8" r="X651"/>
      <c s="8" r="Y651"/>
      <c s="8" r="Z651"/>
      <c s="8" r="AA651"/>
    </row>
    <row r="652">
      <c s="8" r="A652"/>
      <c s="8" r="B652"/>
      <c s="8" r="C652"/>
      <c s="8" r="D652"/>
      <c s="8" r="E652"/>
      <c s="8" r="F652"/>
      <c s="8" r="G652"/>
      <c s="8" r="H652"/>
      <c s="8" r="I652"/>
      <c s="8" r="J652"/>
      <c s="8" r="K652"/>
      <c s="8" r="L652"/>
      <c s="8" r="M652"/>
      <c s="8" r="N652"/>
      <c s="8" r="O652"/>
      <c s="8" r="P652"/>
      <c s="8" r="Q652"/>
      <c s="8" r="R652"/>
      <c s="8" r="S652"/>
      <c s="8" r="T652"/>
      <c s="8" r="U652"/>
      <c s="8" r="V652"/>
      <c s="8" r="W652"/>
      <c s="8" r="X652"/>
      <c s="8" r="Y652"/>
      <c s="8" r="Z652"/>
      <c s="8" r="AA652"/>
    </row>
    <row r="653">
      <c s="8" r="A653"/>
      <c s="8" r="B653"/>
      <c s="8" r="C653"/>
      <c s="8" r="D653"/>
      <c s="8" r="E653"/>
      <c s="8" r="F653"/>
      <c s="8" r="G653"/>
      <c s="8" r="H653"/>
      <c s="8" r="I653"/>
      <c s="8" r="J653"/>
      <c s="8" r="K653"/>
      <c s="8" r="L653"/>
      <c s="8" r="M653"/>
      <c s="8" r="N653"/>
      <c s="8" r="O653"/>
      <c s="8" r="P653"/>
      <c s="8" r="Q653"/>
      <c s="8" r="R653"/>
      <c s="8" r="S653"/>
      <c s="8" r="T653"/>
      <c s="8" r="U653"/>
      <c s="8" r="V653"/>
      <c s="8" r="W653"/>
      <c s="8" r="X653"/>
      <c s="8" r="Y653"/>
      <c s="8" r="Z653"/>
      <c s="8" r="AA653"/>
    </row>
    <row r="654">
      <c s="8" r="A654"/>
      <c s="8" r="B654"/>
      <c s="8" r="C654"/>
      <c s="8" r="D654"/>
      <c s="8" r="E654"/>
      <c s="8" r="F654"/>
      <c s="8" r="G654"/>
      <c s="8" r="H654"/>
      <c s="8" r="I654"/>
      <c s="8" r="J654"/>
      <c s="8" r="K654"/>
      <c s="8" r="L654"/>
      <c s="8" r="M654"/>
      <c s="8" r="N654"/>
      <c s="8" r="O654"/>
      <c s="8" r="P654"/>
      <c s="8" r="Q654"/>
      <c s="8" r="R654"/>
      <c s="8" r="S654"/>
      <c s="8" r="T654"/>
      <c s="8" r="U654"/>
      <c s="8" r="V654"/>
      <c s="8" r="W654"/>
      <c s="8" r="X654"/>
      <c s="8" r="Y654"/>
      <c s="8" r="Z654"/>
      <c s="8" r="AA654"/>
    </row>
    <row r="655">
      <c s="8" r="A655"/>
      <c s="8" r="B655"/>
      <c s="8" r="C655"/>
      <c s="8" r="D655"/>
      <c s="8" r="E655"/>
      <c s="8" r="F655"/>
      <c s="8" r="G655"/>
      <c s="8" r="H655"/>
      <c s="8" r="I655"/>
      <c s="8" r="J655"/>
      <c s="8" r="K655"/>
      <c s="8" r="L655"/>
      <c s="8" r="M655"/>
      <c s="8" r="N655"/>
      <c s="8" r="O655"/>
      <c s="8" r="P655"/>
      <c s="8" r="Q655"/>
      <c s="8" r="R655"/>
      <c s="8" r="S655"/>
      <c s="8" r="T655"/>
      <c s="8" r="U655"/>
      <c s="8" r="V655"/>
      <c s="8" r="W655"/>
      <c s="8" r="X655"/>
      <c s="8" r="Y655"/>
      <c s="8" r="Z655"/>
      <c s="8" r="AA655"/>
    </row>
    <row r="656">
      <c s="8" r="A656"/>
      <c s="8" r="B656"/>
      <c s="8" r="C656"/>
      <c s="8" r="D656"/>
      <c s="8" r="E656"/>
      <c s="8" r="F656"/>
      <c s="8" r="G656"/>
      <c s="8" r="H656"/>
      <c s="8" r="I656"/>
      <c s="8" r="J656"/>
      <c s="8" r="K656"/>
      <c s="8" r="L656"/>
      <c s="8" r="M656"/>
      <c s="8" r="N656"/>
      <c s="8" r="O656"/>
      <c s="8" r="P656"/>
      <c s="8" r="Q656"/>
      <c s="8" r="R656"/>
      <c s="8" r="S656"/>
      <c s="8" r="T656"/>
      <c s="8" r="U656"/>
      <c s="8" r="V656"/>
      <c s="8" r="W656"/>
      <c s="8" r="X656"/>
      <c s="8" r="Y656"/>
      <c s="8" r="Z656"/>
      <c s="8" r="AA656"/>
    </row>
    <row r="657">
      <c s="8" r="A657"/>
      <c s="8" r="B657"/>
      <c s="8" r="C657"/>
      <c s="8" r="D657"/>
      <c s="8" r="E657"/>
      <c s="8" r="F657"/>
      <c s="8" r="G657"/>
      <c s="8" r="H657"/>
      <c s="8" r="I657"/>
      <c s="8" r="J657"/>
      <c s="8" r="K657"/>
      <c s="8" r="L657"/>
      <c s="8" r="M657"/>
      <c s="8" r="N657"/>
      <c s="8" r="O657"/>
      <c s="8" r="P657"/>
      <c s="8" r="Q657"/>
      <c s="8" r="R657"/>
      <c s="8" r="S657"/>
      <c s="8" r="T657"/>
      <c s="8" r="U657"/>
      <c s="8" r="V657"/>
      <c s="8" r="W657"/>
      <c s="8" r="X657"/>
      <c s="8" r="Y657"/>
      <c s="8" r="Z657"/>
      <c s="8" r="AA657"/>
    </row>
    <row r="658">
      <c s="8" r="A658"/>
      <c s="8" r="B658"/>
      <c s="8" r="C658"/>
      <c s="8" r="D658"/>
      <c s="8" r="E658"/>
      <c s="8" r="F658"/>
      <c s="8" r="G658"/>
      <c s="8" r="H658"/>
      <c s="8" r="I658"/>
      <c s="8" r="J658"/>
      <c s="8" r="K658"/>
      <c s="8" r="L658"/>
      <c s="8" r="M658"/>
      <c s="8" r="N658"/>
      <c s="8" r="O658"/>
      <c s="8" r="P658"/>
      <c s="8" r="Q658"/>
      <c s="8" r="R658"/>
      <c s="8" r="S658"/>
      <c s="8" r="T658"/>
      <c s="8" r="U658"/>
      <c s="8" r="V658"/>
      <c s="8" r="W658"/>
      <c s="8" r="X658"/>
      <c s="8" r="Y658"/>
      <c s="8" r="Z658"/>
      <c s="8" r="AA658"/>
    </row>
    <row r="659">
      <c s="8" r="A659"/>
      <c s="8" r="B659"/>
      <c s="8" r="C659"/>
      <c s="8" r="D659"/>
      <c s="8" r="E659"/>
      <c s="8" r="F659"/>
      <c s="8" r="G659"/>
      <c s="8" r="H659"/>
      <c s="8" r="I659"/>
      <c s="8" r="J659"/>
      <c s="8" r="K659"/>
      <c s="8" r="L659"/>
      <c s="8" r="M659"/>
      <c s="8" r="N659"/>
      <c s="8" r="O659"/>
      <c s="8" r="P659"/>
      <c s="8" r="Q659"/>
      <c s="8" r="R659"/>
      <c s="8" r="S659"/>
      <c s="8" r="T659"/>
      <c s="8" r="U659"/>
      <c s="8" r="V659"/>
      <c s="8" r="W659"/>
      <c s="8" r="X659"/>
      <c s="8" r="Y659"/>
      <c s="8" r="Z659"/>
      <c s="8" r="AA659"/>
    </row>
    <row r="660">
      <c s="8" r="A660"/>
      <c s="8" r="B660"/>
      <c s="8" r="C660"/>
      <c s="8" r="D660"/>
      <c s="8" r="E660"/>
      <c s="8" r="F660"/>
      <c s="8" r="G660"/>
      <c s="8" r="H660"/>
      <c s="8" r="I660"/>
      <c s="8" r="J660"/>
      <c s="8" r="K660"/>
      <c s="8" r="L660"/>
      <c s="8" r="M660"/>
      <c s="8" r="N660"/>
      <c s="8" r="O660"/>
      <c s="8" r="P660"/>
      <c s="8" r="Q660"/>
      <c s="8" r="R660"/>
      <c s="8" r="S660"/>
      <c s="8" r="T660"/>
      <c s="8" r="U660"/>
      <c s="8" r="V660"/>
      <c s="8" r="W660"/>
      <c s="8" r="X660"/>
      <c s="8" r="Y660"/>
      <c s="8" r="Z660"/>
      <c s="8" r="AA660"/>
    </row>
    <row r="661">
      <c s="8" r="A661"/>
      <c s="8" r="B661"/>
      <c s="8" r="C661"/>
      <c s="8" r="D661"/>
      <c s="8" r="E661"/>
      <c s="8" r="F661"/>
      <c s="8" r="G661"/>
      <c s="8" r="H661"/>
      <c s="8" r="I661"/>
      <c s="8" r="J661"/>
      <c s="8" r="K661"/>
      <c s="8" r="L661"/>
      <c s="8" r="M661"/>
      <c s="8" r="N661"/>
      <c s="8" r="O661"/>
      <c s="8" r="P661"/>
      <c s="8" r="Q661"/>
      <c s="8" r="R661"/>
      <c s="8" r="S661"/>
      <c s="8" r="T661"/>
      <c s="8" r="U661"/>
      <c s="8" r="V661"/>
      <c s="8" r="W661"/>
      <c s="8" r="X661"/>
      <c s="8" r="Y661"/>
      <c s="8" r="Z661"/>
      <c s="8" r="AA661"/>
    </row>
    <row r="662">
      <c s="8" r="A662"/>
      <c s="8" r="B662"/>
      <c s="8" r="C662"/>
      <c s="8" r="D662"/>
      <c s="8" r="E662"/>
      <c s="8" r="F662"/>
      <c s="8" r="G662"/>
      <c s="8" r="H662"/>
      <c s="8" r="I662"/>
      <c s="8" r="J662"/>
      <c s="8" r="K662"/>
      <c s="8" r="L662"/>
      <c s="8" r="M662"/>
      <c s="8" r="N662"/>
      <c s="8" r="O662"/>
      <c s="8" r="P662"/>
      <c s="8" r="Q662"/>
      <c s="8" r="R662"/>
      <c s="8" r="S662"/>
      <c s="8" r="T662"/>
      <c s="8" r="U662"/>
      <c s="8" r="V662"/>
      <c s="8" r="W662"/>
      <c s="8" r="X662"/>
      <c s="8" r="Y662"/>
      <c s="8" r="Z662"/>
      <c s="8" r="AA662"/>
    </row>
    <row r="663">
      <c s="8" r="A663"/>
      <c s="8" r="B663"/>
      <c s="8" r="C663"/>
      <c s="8" r="D663"/>
      <c s="8" r="E663"/>
      <c s="8" r="F663"/>
      <c s="8" r="G663"/>
      <c s="8" r="H663"/>
      <c s="8" r="I663"/>
      <c s="8" r="J663"/>
      <c s="8" r="K663"/>
      <c s="8" r="L663"/>
      <c s="8" r="M663"/>
      <c s="8" r="N663"/>
      <c s="8" r="O663"/>
      <c s="8" r="P663"/>
      <c s="8" r="Q663"/>
      <c s="8" r="R663"/>
      <c s="8" r="S663"/>
      <c s="8" r="T663"/>
      <c s="8" r="U663"/>
      <c s="8" r="V663"/>
      <c s="8" r="W663"/>
      <c s="8" r="X663"/>
      <c s="8" r="Y663"/>
      <c s="8" r="Z663"/>
      <c s="8" r="AA663"/>
    </row>
    <row r="664">
      <c s="8" r="A664"/>
      <c s="8" r="B664"/>
      <c s="8" r="C664"/>
      <c s="8" r="D664"/>
      <c s="8" r="E664"/>
      <c s="8" r="F664"/>
      <c s="8" r="G664"/>
      <c s="8" r="H664"/>
      <c s="8" r="I664"/>
      <c s="8" r="J664"/>
      <c s="8" r="K664"/>
      <c s="8" r="L664"/>
      <c s="8" r="M664"/>
      <c s="8" r="N664"/>
      <c s="8" r="O664"/>
      <c s="8" r="P664"/>
      <c s="8" r="Q664"/>
      <c s="8" r="R664"/>
      <c s="8" r="S664"/>
      <c s="8" r="T664"/>
      <c s="8" r="U664"/>
      <c s="8" r="V664"/>
      <c s="8" r="W664"/>
      <c s="8" r="X664"/>
      <c s="8" r="Y664"/>
      <c s="8" r="Z664"/>
      <c s="8" r="AA664"/>
    </row>
    <row r="665">
      <c s="8" r="A665"/>
      <c s="8" r="B665"/>
      <c s="8" r="C665"/>
      <c s="8" r="D665"/>
      <c s="8" r="E665"/>
      <c s="8" r="F665"/>
      <c s="8" r="G665"/>
      <c s="8" r="H665"/>
      <c s="8" r="I665"/>
      <c s="8" r="J665"/>
      <c s="8" r="K665"/>
      <c s="8" r="L665"/>
      <c s="8" r="M665"/>
      <c s="8" r="N665"/>
      <c s="8" r="O665"/>
      <c s="8" r="P665"/>
      <c s="8" r="Q665"/>
      <c s="8" r="R665"/>
      <c s="8" r="S665"/>
      <c s="8" r="T665"/>
      <c s="8" r="U665"/>
      <c s="8" r="V665"/>
      <c s="8" r="W665"/>
      <c s="8" r="X665"/>
      <c s="8" r="Y665"/>
      <c s="8" r="Z665"/>
      <c s="8" r="AA665"/>
    </row>
    <row r="666">
      <c s="8" r="A666"/>
      <c s="8" r="B666"/>
      <c s="8" r="C666"/>
      <c s="8" r="D666"/>
      <c s="8" r="E666"/>
      <c s="8" r="F666"/>
      <c s="8" r="G666"/>
      <c s="8" r="H666"/>
      <c s="8" r="I666"/>
      <c s="8" r="J666"/>
      <c s="8" r="K666"/>
      <c s="8" r="L666"/>
      <c s="8" r="M666"/>
      <c s="8" r="N666"/>
      <c s="8" r="O666"/>
      <c s="8" r="P666"/>
      <c s="8" r="Q666"/>
      <c s="8" r="R666"/>
      <c s="8" r="S666"/>
      <c s="8" r="T666"/>
      <c s="8" r="U666"/>
      <c s="8" r="V666"/>
      <c s="8" r="W666"/>
      <c s="8" r="X666"/>
      <c s="8" r="Y666"/>
      <c s="8" r="Z666"/>
      <c s="8" r="AA666"/>
    </row>
    <row r="667">
      <c s="8" r="A667"/>
      <c s="8" r="B667"/>
      <c s="8" r="C667"/>
      <c s="8" r="D667"/>
      <c s="8" r="E667"/>
      <c s="8" r="F667"/>
      <c s="8" r="G667"/>
      <c s="8" r="H667"/>
      <c s="8" r="I667"/>
      <c s="8" r="J667"/>
      <c s="8" r="K667"/>
      <c s="8" r="L667"/>
      <c s="8" r="M667"/>
      <c s="8" r="N667"/>
      <c s="8" r="O667"/>
      <c s="8" r="P667"/>
      <c s="8" r="Q667"/>
      <c s="8" r="R667"/>
      <c s="8" r="S667"/>
      <c s="8" r="T667"/>
      <c s="8" r="U667"/>
      <c s="8" r="V667"/>
      <c s="8" r="W667"/>
      <c s="8" r="X667"/>
      <c s="8" r="Y667"/>
      <c s="8" r="Z667"/>
      <c s="8" r="AA667"/>
    </row>
    <row r="668">
      <c s="8" r="A668"/>
      <c s="8" r="B668"/>
      <c s="8" r="C668"/>
      <c s="8" r="D668"/>
      <c s="8" r="E668"/>
      <c s="8" r="F668"/>
      <c s="8" r="G668"/>
      <c s="8" r="H668"/>
      <c s="8" r="I668"/>
      <c s="8" r="J668"/>
      <c s="8" r="K668"/>
      <c s="8" r="L668"/>
      <c s="8" r="M668"/>
      <c s="8" r="N668"/>
      <c s="8" r="O668"/>
      <c s="8" r="P668"/>
      <c s="8" r="Q668"/>
      <c s="8" r="R668"/>
      <c s="8" r="S668"/>
      <c s="8" r="T668"/>
      <c s="8" r="U668"/>
      <c s="8" r="V668"/>
      <c s="8" r="W668"/>
      <c s="8" r="X668"/>
      <c s="8" r="Y668"/>
      <c s="8" r="Z668"/>
      <c s="8" r="AA668"/>
    </row>
    <row r="669">
      <c s="8" r="A669"/>
      <c s="8" r="B669"/>
      <c s="8" r="C669"/>
      <c s="8" r="D669"/>
      <c s="8" r="E669"/>
      <c s="8" r="F669"/>
      <c s="8" r="G669"/>
      <c s="8" r="H669"/>
      <c s="8" r="I669"/>
      <c s="8" r="J669"/>
      <c s="8" r="K669"/>
      <c s="8" r="L669"/>
      <c s="8" r="M669"/>
      <c s="8" r="N669"/>
      <c s="8" r="O669"/>
      <c s="8" r="P669"/>
      <c s="8" r="Q669"/>
      <c s="8" r="R669"/>
      <c s="8" r="S669"/>
      <c s="8" r="T669"/>
      <c s="8" r="U669"/>
      <c s="8" r="V669"/>
      <c s="8" r="W669"/>
      <c s="8" r="X669"/>
      <c s="8" r="Y669"/>
      <c s="8" r="Z669"/>
      <c s="8" r="AA669"/>
    </row>
    <row r="670">
      <c s="8" r="A670"/>
      <c s="8" r="B670"/>
      <c s="8" r="C670"/>
      <c s="8" r="D670"/>
      <c s="8" r="E670"/>
      <c s="8" r="F670"/>
      <c s="8" r="G670"/>
      <c s="8" r="H670"/>
      <c s="8" r="I670"/>
      <c s="8" r="J670"/>
      <c s="8" r="K670"/>
      <c s="8" r="L670"/>
      <c s="8" r="M670"/>
      <c s="8" r="N670"/>
      <c s="8" r="O670"/>
      <c s="8" r="P670"/>
      <c s="8" r="Q670"/>
      <c s="8" r="R670"/>
      <c s="8" r="S670"/>
      <c s="8" r="T670"/>
      <c s="8" r="U670"/>
      <c s="8" r="V670"/>
      <c s="8" r="W670"/>
      <c s="8" r="X670"/>
      <c s="8" r="Y670"/>
      <c s="8" r="Z670"/>
      <c s="8" r="AA670"/>
    </row>
    <row r="671">
      <c s="8" r="A671"/>
      <c s="8" r="B671"/>
      <c s="8" r="C671"/>
      <c s="8" r="D671"/>
      <c s="8" r="E671"/>
      <c s="8" r="F671"/>
      <c s="8" r="G671"/>
      <c s="8" r="H671"/>
      <c s="8" r="I671"/>
      <c s="8" r="J671"/>
      <c s="8" r="K671"/>
      <c s="8" r="L671"/>
      <c s="8" r="M671"/>
      <c s="8" r="N671"/>
      <c s="8" r="O671"/>
      <c s="8" r="P671"/>
      <c s="8" r="Q671"/>
      <c s="8" r="R671"/>
      <c s="8" r="S671"/>
      <c s="8" r="T671"/>
      <c s="8" r="U671"/>
      <c s="8" r="V671"/>
      <c s="8" r="W671"/>
      <c s="8" r="X671"/>
      <c s="8" r="Y671"/>
      <c s="8" r="Z671"/>
      <c s="8" r="AA671"/>
    </row>
    <row r="672">
      <c s="8" r="A672"/>
      <c s="8" r="B672"/>
      <c s="8" r="C672"/>
      <c s="8" r="D672"/>
      <c s="8" r="E672"/>
      <c s="8" r="F672"/>
      <c s="8" r="G672"/>
      <c s="8" r="H672"/>
      <c s="8" r="I672"/>
      <c s="8" r="J672"/>
      <c s="8" r="K672"/>
      <c s="8" r="L672"/>
      <c s="8" r="M672"/>
      <c s="8" r="N672"/>
      <c s="8" r="O672"/>
      <c s="8" r="P672"/>
      <c s="8" r="Q672"/>
      <c s="8" r="R672"/>
      <c s="8" r="S672"/>
      <c s="8" r="T672"/>
      <c s="8" r="U672"/>
      <c s="8" r="V672"/>
      <c s="8" r="W672"/>
      <c s="8" r="X672"/>
      <c s="8" r="Y672"/>
      <c s="8" r="Z672"/>
      <c s="8" r="AA672"/>
    </row>
    <row r="673">
      <c s="8" r="A673"/>
      <c s="8" r="B673"/>
      <c s="8" r="C673"/>
      <c s="8" r="D673"/>
      <c s="8" r="E673"/>
      <c s="8" r="F673"/>
      <c s="8" r="G673"/>
      <c s="8" r="H673"/>
      <c s="8" r="I673"/>
      <c s="8" r="J673"/>
      <c s="8" r="K673"/>
      <c s="8" r="L673"/>
      <c s="8" r="M673"/>
      <c s="8" r="N673"/>
      <c s="8" r="O673"/>
      <c s="8" r="P673"/>
      <c s="8" r="Q673"/>
      <c s="8" r="R673"/>
      <c s="8" r="S673"/>
      <c s="8" r="T673"/>
      <c s="8" r="U673"/>
      <c s="8" r="V673"/>
      <c s="8" r="W673"/>
      <c s="8" r="X673"/>
      <c s="8" r="Y673"/>
      <c s="8" r="Z673"/>
      <c s="8" r="AA673"/>
    </row>
    <row r="674">
      <c s="8" r="A674"/>
      <c s="8" r="B674"/>
      <c s="8" r="C674"/>
      <c s="8" r="D674"/>
      <c s="8" r="E674"/>
      <c s="8" r="F674"/>
      <c s="8" r="G674"/>
      <c s="8" r="H674"/>
      <c s="8" r="I674"/>
      <c s="8" r="J674"/>
      <c s="8" r="K674"/>
      <c s="8" r="L674"/>
      <c s="8" r="M674"/>
      <c s="8" r="N674"/>
      <c s="8" r="O674"/>
      <c s="8" r="P674"/>
      <c s="8" r="Q674"/>
      <c s="8" r="R674"/>
      <c s="8" r="S674"/>
      <c s="8" r="T674"/>
      <c s="8" r="U674"/>
      <c s="8" r="V674"/>
      <c s="8" r="W674"/>
      <c s="8" r="X674"/>
      <c s="8" r="Y674"/>
      <c s="8" r="Z674"/>
      <c s="8" r="AA674"/>
    </row>
    <row r="675">
      <c s="8" r="A675"/>
      <c s="8" r="B675"/>
      <c s="8" r="C675"/>
      <c s="8" r="D675"/>
      <c s="8" r="E675"/>
      <c s="8" r="F675"/>
      <c s="8" r="G675"/>
      <c s="8" r="H675"/>
      <c s="8" r="I675"/>
      <c s="8" r="J675"/>
      <c s="8" r="K675"/>
      <c s="8" r="L675"/>
      <c s="8" r="M675"/>
      <c s="8" r="N675"/>
      <c s="8" r="O675"/>
      <c s="8" r="P675"/>
      <c s="8" r="Q675"/>
      <c s="8" r="R675"/>
      <c s="8" r="S675"/>
      <c s="8" r="T675"/>
      <c s="8" r="U675"/>
      <c s="8" r="V675"/>
      <c s="8" r="W675"/>
      <c s="8" r="X675"/>
      <c s="8" r="Y675"/>
      <c s="8" r="Z675"/>
      <c s="8" r="AA675"/>
    </row>
    <row r="676">
      <c s="8" r="A676"/>
      <c s="8" r="B676"/>
      <c s="8" r="C676"/>
      <c s="8" r="D676"/>
      <c s="8" r="E676"/>
      <c s="8" r="F676"/>
      <c s="8" r="G676"/>
      <c s="8" r="H676"/>
      <c s="8" r="I676"/>
      <c s="8" r="J676"/>
      <c s="8" r="K676"/>
      <c s="8" r="L676"/>
      <c s="8" r="M676"/>
      <c s="8" r="N676"/>
      <c s="8" r="O676"/>
      <c s="8" r="P676"/>
      <c s="8" r="Q676"/>
      <c s="8" r="R676"/>
      <c s="8" r="S676"/>
      <c s="8" r="T676"/>
      <c s="8" r="U676"/>
      <c s="8" r="V676"/>
      <c s="8" r="W676"/>
      <c s="8" r="X676"/>
      <c s="8" r="Y676"/>
      <c s="8" r="Z676"/>
      <c s="8" r="AA676"/>
    </row>
    <row r="677">
      <c s="8" r="A677"/>
      <c s="8" r="B677"/>
      <c s="8" r="C677"/>
      <c s="8" r="D677"/>
      <c s="8" r="E677"/>
      <c s="8" r="F677"/>
      <c s="8" r="G677"/>
      <c s="8" r="H677"/>
      <c s="8" r="I677"/>
      <c s="8" r="J677"/>
      <c s="8" r="K677"/>
      <c s="8" r="L677"/>
      <c s="8" r="M677"/>
      <c s="8" r="N677"/>
      <c s="8" r="O677"/>
      <c s="8" r="P677"/>
      <c s="8" r="Q677"/>
      <c s="8" r="R677"/>
      <c s="8" r="S677"/>
      <c s="8" r="T677"/>
      <c s="8" r="U677"/>
      <c s="8" r="V677"/>
      <c s="8" r="W677"/>
      <c s="8" r="X677"/>
      <c s="8" r="Y677"/>
      <c s="8" r="Z677"/>
      <c s="8" r="AA677"/>
    </row>
    <row r="678">
      <c s="8" r="A678"/>
      <c s="8" r="B678"/>
      <c s="8" r="C678"/>
      <c s="8" r="D678"/>
      <c s="8" r="E678"/>
      <c s="8" r="F678"/>
      <c s="8" r="G678"/>
      <c s="8" r="H678"/>
      <c s="8" r="I678"/>
      <c s="8" r="J678"/>
      <c s="8" r="K678"/>
      <c s="8" r="L678"/>
      <c s="8" r="M678"/>
      <c s="8" r="N678"/>
      <c s="8" r="O678"/>
      <c s="8" r="P678"/>
      <c s="8" r="Q678"/>
      <c s="8" r="R678"/>
      <c s="8" r="S678"/>
      <c s="8" r="T678"/>
      <c s="8" r="U678"/>
      <c s="8" r="V678"/>
      <c s="8" r="W678"/>
      <c s="8" r="X678"/>
      <c s="8" r="Y678"/>
      <c s="8" r="Z678"/>
      <c s="8" r="AA678"/>
    </row>
    <row r="679">
      <c s="8" r="A679"/>
      <c s="8" r="B679"/>
      <c s="8" r="C679"/>
      <c s="8" r="D679"/>
      <c s="8" r="E679"/>
      <c s="8" r="F679"/>
      <c s="8" r="G679"/>
      <c s="8" r="H679"/>
      <c s="8" r="I679"/>
      <c s="8" r="J679"/>
      <c s="8" r="K679"/>
      <c s="8" r="L679"/>
      <c s="8" r="M679"/>
      <c s="8" r="N679"/>
      <c s="8" r="O679"/>
      <c s="8" r="P679"/>
      <c s="8" r="Q679"/>
      <c s="8" r="R679"/>
      <c s="8" r="S679"/>
      <c s="8" r="T679"/>
      <c s="8" r="U679"/>
      <c s="8" r="V679"/>
      <c s="8" r="W679"/>
      <c s="8" r="X679"/>
      <c s="8" r="Y679"/>
      <c s="8" r="Z679"/>
      <c s="8" r="AA679"/>
    </row>
    <row r="680">
      <c s="8" r="A680"/>
      <c s="8" r="B680"/>
      <c s="8" r="C680"/>
      <c s="8" r="D680"/>
      <c s="8" r="E680"/>
      <c s="8" r="F680"/>
      <c s="8" r="G680"/>
      <c s="8" r="H680"/>
      <c s="8" r="I680"/>
      <c s="8" r="J680"/>
      <c s="8" r="K680"/>
      <c s="8" r="L680"/>
      <c s="8" r="M680"/>
      <c s="8" r="N680"/>
      <c s="8" r="O680"/>
      <c s="8" r="P680"/>
      <c s="8" r="Q680"/>
      <c s="8" r="R680"/>
      <c s="8" r="S680"/>
      <c s="8" r="T680"/>
      <c s="8" r="U680"/>
      <c s="8" r="V680"/>
      <c s="8" r="W680"/>
      <c s="8" r="X680"/>
      <c s="8" r="Y680"/>
      <c s="8" r="Z680"/>
      <c s="8" r="AA680"/>
    </row>
    <row r="681">
      <c s="8" r="A681"/>
      <c s="8" r="B681"/>
      <c s="8" r="C681"/>
      <c s="8" r="D681"/>
      <c s="8" r="E681"/>
      <c s="8" r="F681"/>
      <c s="8" r="G681"/>
      <c s="8" r="H681"/>
      <c s="8" r="I681"/>
      <c s="8" r="J681"/>
      <c s="8" r="K681"/>
      <c s="8" r="L681"/>
      <c s="8" r="M681"/>
      <c s="8" r="N681"/>
      <c s="8" r="O681"/>
      <c s="8" r="P681"/>
      <c s="8" r="Q681"/>
      <c s="8" r="R681"/>
      <c s="8" r="S681"/>
      <c s="8" r="T681"/>
      <c s="8" r="U681"/>
      <c s="8" r="V681"/>
      <c s="8" r="W681"/>
      <c s="8" r="X681"/>
      <c s="8" r="Y681"/>
      <c s="8" r="Z681"/>
      <c s="8" r="AA681"/>
    </row>
    <row r="682">
      <c s="8" r="A682"/>
      <c s="8" r="B682"/>
      <c s="8" r="C682"/>
      <c s="8" r="D682"/>
      <c s="8" r="E682"/>
      <c s="8" r="F682"/>
      <c s="8" r="G682"/>
      <c s="8" r="H682"/>
      <c s="8" r="I682"/>
      <c s="8" r="J682"/>
      <c s="8" r="K682"/>
      <c s="8" r="L682"/>
      <c s="8" r="M682"/>
      <c s="8" r="N682"/>
      <c s="8" r="O682"/>
      <c s="8" r="P682"/>
      <c s="8" r="Q682"/>
      <c s="8" r="R682"/>
      <c s="8" r="S682"/>
      <c s="8" r="T682"/>
      <c s="8" r="U682"/>
      <c s="8" r="V682"/>
      <c s="8" r="W682"/>
      <c s="8" r="X682"/>
      <c s="8" r="Y682"/>
      <c s="8" r="Z682"/>
      <c s="8" r="AA682"/>
    </row>
    <row r="683">
      <c s="8" r="A683"/>
      <c s="8" r="B683"/>
      <c s="8" r="C683"/>
      <c s="8" r="D683"/>
      <c s="8" r="E683"/>
      <c s="8" r="F683"/>
      <c s="8" r="G683"/>
      <c s="8" r="H683"/>
      <c s="8" r="I683"/>
      <c s="8" r="J683"/>
      <c s="8" r="K683"/>
      <c s="8" r="L683"/>
      <c s="8" r="M683"/>
      <c s="8" r="N683"/>
      <c s="8" r="O683"/>
      <c s="8" r="P683"/>
      <c s="8" r="Q683"/>
      <c s="8" r="R683"/>
      <c s="8" r="S683"/>
      <c s="8" r="T683"/>
      <c s="8" r="U683"/>
      <c s="8" r="V683"/>
      <c s="8" r="W683"/>
      <c s="8" r="X683"/>
      <c s="8" r="Y683"/>
      <c s="8" r="Z683"/>
      <c s="8" r="AA683"/>
    </row>
    <row r="684">
      <c s="8" r="A684"/>
      <c s="8" r="B684"/>
      <c s="8" r="C684"/>
      <c s="8" r="D684"/>
      <c s="8" r="E684"/>
      <c s="8" r="F684"/>
      <c s="8" r="G684"/>
      <c s="8" r="H684"/>
      <c s="8" r="I684"/>
      <c s="8" r="J684"/>
      <c s="8" r="K684"/>
      <c s="8" r="L684"/>
      <c s="8" r="M684"/>
      <c s="8" r="N684"/>
      <c s="8" r="O684"/>
      <c s="8" r="P684"/>
      <c s="8" r="Q684"/>
      <c s="8" r="R684"/>
      <c s="8" r="S684"/>
      <c s="8" r="T684"/>
      <c s="8" r="U684"/>
      <c s="8" r="V684"/>
      <c s="8" r="W684"/>
      <c s="8" r="X684"/>
      <c s="8" r="Y684"/>
      <c s="8" r="Z684"/>
      <c s="8" r="AA684"/>
    </row>
    <row r="685">
      <c s="8" r="A685"/>
      <c s="8" r="B685"/>
      <c s="8" r="C685"/>
      <c s="8" r="D685"/>
      <c s="8" r="E685"/>
      <c s="8" r="F685"/>
      <c s="8" r="G685"/>
      <c s="8" r="H685"/>
      <c s="8" r="I685"/>
      <c s="8" r="J685"/>
      <c s="8" r="K685"/>
      <c s="8" r="L685"/>
      <c s="8" r="M685"/>
      <c s="8" r="N685"/>
      <c s="8" r="O685"/>
      <c s="8" r="P685"/>
      <c s="8" r="Q685"/>
      <c s="8" r="R685"/>
      <c s="8" r="S685"/>
      <c s="8" r="T685"/>
      <c s="8" r="U685"/>
      <c s="8" r="V685"/>
      <c s="8" r="W685"/>
      <c s="8" r="X685"/>
      <c s="8" r="Y685"/>
      <c s="8" r="Z685"/>
      <c s="8" r="AA685"/>
    </row>
    <row r="686">
      <c s="8" r="A686"/>
      <c s="8" r="B686"/>
      <c s="8" r="C686"/>
      <c s="8" r="D686"/>
      <c s="8" r="E686"/>
      <c s="8" r="F686"/>
      <c s="8" r="G686"/>
      <c s="8" r="H686"/>
      <c s="8" r="I686"/>
      <c s="8" r="J686"/>
      <c s="8" r="K686"/>
      <c s="8" r="L686"/>
      <c s="8" r="M686"/>
      <c s="8" r="N686"/>
      <c s="8" r="O686"/>
      <c s="8" r="P686"/>
      <c s="8" r="Q686"/>
      <c s="8" r="R686"/>
      <c s="8" r="S686"/>
      <c s="8" r="T686"/>
      <c s="8" r="U686"/>
      <c s="8" r="V686"/>
      <c s="8" r="W686"/>
      <c s="8" r="X686"/>
      <c s="8" r="Y686"/>
      <c s="8" r="Z686"/>
      <c s="8" r="AA686"/>
    </row>
    <row r="687">
      <c s="8" r="A687"/>
      <c s="8" r="B687"/>
      <c s="8" r="C687"/>
      <c s="8" r="D687"/>
      <c s="8" r="E687"/>
      <c s="8" r="F687"/>
      <c s="8" r="G687"/>
      <c s="8" r="H687"/>
      <c s="8" r="I687"/>
      <c s="8" r="J687"/>
      <c s="8" r="K687"/>
      <c s="8" r="L687"/>
      <c s="8" r="M687"/>
      <c s="8" r="N687"/>
      <c s="8" r="O687"/>
      <c s="8" r="P687"/>
      <c s="8" r="Q687"/>
      <c s="8" r="R687"/>
      <c s="8" r="S687"/>
      <c s="8" r="T687"/>
      <c s="8" r="U687"/>
      <c s="8" r="V687"/>
      <c s="8" r="W687"/>
      <c s="8" r="X687"/>
      <c s="8" r="Y687"/>
      <c s="8" r="Z687"/>
      <c s="8" r="AA687"/>
    </row>
    <row r="688">
      <c s="8" r="A688"/>
      <c s="8" r="B688"/>
      <c s="8" r="C688"/>
      <c s="8" r="D688"/>
      <c s="8" r="E688"/>
      <c s="8" r="F688"/>
      <c s="8" r="G688"/>
      <c s="8" r="H688"/>
      <c s="8" r="I688"/>
      <c s="8" r="J688"/>
      <c s="8" r="K688"/>
      <c s="8" r="L688"/>
      <c s="8" r="M688"/>
      <c s="8" r="N688"/>
      <c s="8" r="O688"/>
      <c s="8" r="P688"/>
      <c s="8" r="Q688"/>
      <c s="8" r="R688"/>
      <c s="8" r="S688"/>
      <c s="8" r="T688"/>
      <c s="8" r="U688"/>
      <c s="8" r="V688"/>
      <c s="8" r="W688"/>
      <c s="8" r="X688"/>
      <c s="8" r="Y688"/>
      <c s="8" r="Z688"/>
      <c s="8" r="AA688"/>
    </row>
    <row r="689">
      <c s="8" r="A689"/>
      <c s="8" r="B689"/>
      <c s="8" r="C689"/>
      <c s="8" r="D689"/>
      <c s="8" r="E689"/>
      <c s="8" r="F689"/>
      <c s="8" r="G689"/>
      <c s="8" r="H689"/>
      <c s="8" r="I689"/>
      <c s="8" r="J689"/>
      <c s="8" r="K689"/>
      <c s="8" r="L689"/>
      <c s="8" r="M689"/>
      <c s="8" r="N689"/>
      <c s="8" r="O689"/>
      <c s="8" r="P689"/>
      <c s="8" r="Q689"/>
      <c s="8" r="R689"/>
      <c s="8" r="S689"/>
      <c s="8" r="T689"/>
      <c s="8" r="U689"/>
      <c s="8" r="V689"/>
      <c s="8" r="W689"/>
      <c s="8" r="X689"/>
      <c s="8" r="Y689"/>
      <c s="8" r="Z689"/>
      <c s="8" r="AA689"/>
    </row>
    <row r="690">
      <c s="8" r="A690"/>
      <c s="8" r="B690"/>
      <c s="8" r="C690"/>
      <c s="8" r="D690"/>
      <c s="8" r="E690"/>
      <c s="8" r="F690"/>
      <c s="8" r="G690"/>
      <c s="8" r="H690"/>
      <c s="8" r="I690"/>
      <c s="8" r="J690"/>
      <c s="8" r="K690"/>
      <c s="8" r="L690"/>
      <c s="8" r="M690"/>
      <c s="8" r="N690"/>
      <c s="8" r="O690"/>
      <c s="8" r="P690"/>
      <c s="8" r="Q690"/>
      <c s="8" r="R690"/>
      <c s="8" r="S690"/>
      <c s="8" r="T690"/>
      <c s="8" r="U690"/>
      <c s="8" r="V690"/>
      <c s="8" r="W690"/>
      <c s="8" r="X690"/>
      <c s="8" r="Y690"/>
      <c s="8" r="Z690"/>
      <c s="8" r="AA690"/>
    </row>
    <row r="691">
      <c s="8" r="A691"/>
      <c s="8" r="B691"/>
      <c s="8" r="C691"/>
      <c s="8" r="D691"/>
      <c s="8" r="E691"/>
      <c s="8" r="F691"/>
      <c s="8" r="G691"/>
      <c s="8" r="H691"/>
      <c s="8" r="I691"/>
      <c s="8" r="J691"/>
      <c s="8" r="K691"/>
      <c s="8" r="L691"/>
      <c s="8" r="M691"/>
      <c s="8" r="N691"/>
      <c s="8" r="O691"/>
      <c s="8" r="P691"/>
      <c s="8" r="Q691"/>
      <c s="8" r="R691"/>
      <c s="8" r="S691"/>
      <c s="8" r="T691"/>
      <c s="8" r="U691"/>
      <c s="8" r="V691"/>
      <c s="8" r="W691"/>
      <c s="8" r="X691"/>
      <c s="8" r="Y691"/>
      <c s="8" r="Z691"/>
      <c s="8" r="AA691"/>
    </row>
    <row r="692">
      <c s="8" r="A692"/>
      <c s="8" r="B692"/>
      <c s="8" r="C692"/>
      <c s="8" r="D692"/>
      <c s="8" r="E692"/>
      <c s="8" r="F692"/>
      <c s="8" r="G692"/>
      <c s="8" r="H692"/>
      <c s="8" r="I692"/>
      <c s="8" r="J692"/>
      <c s="8" r="K692"/>
      <c s="8" r="L692"/>
      <c s="8" r="M692"/>
      <c s="8" r="N692"/>
      <c s="8" r="O692"/>
      <c s="8" r="P692"/>
      <c s="8" r="Q692"/>
      <c s="8" r="R692"/>
      <c s="8" r="S692"/>
      <c s="8" r="T692"/>
      <c s="8" r="U692"/>
      <c s="8" r="V692"/>
      <c s="8" r="W692"/>
      <c s="8" r="X692"/>
      <c s="8" r="Y692"/>
      <c s="8" r="Z692"/>
      <c s="8" r="AA692"/>
    </row>
    <row r="693">
      <c s="8" r="A693"/>
      <c s="8" r="B693"/>
      <c s="8" r="C693"/>
      <c s="8" r="D693"/>
      <c s="8" r="E693"/>
      <c s="8" r="F693"/>
      <c s="8" r="G693"/>
      <c s="8" r="H693"/>
      <c s="8" r="I693"/>
      <c s="8" r="J693"/>
      <c s="8" r="K693"/>
      <c s="8" r="L693"/>
      <c s="8" r="M693"/>
      <c s="8" r="N693"/>
      <c s="8" r="O693"/>
      <c s="8" r="P693"/>
      <c s="8" r="Q693"/>
      <c s="8" r="R693"/>
      <c s="8" r="S693"/>
      <c s="8" r="T693"/>
      <c s="8" r="U693"/>
      <c s="8" r="V693"/>
      <c s="8" r="W693"/>
      <c s="8" r="X693"/>
      <c s="8" r="Y693"/>
      <c s="8" r="Z693"/>
      <c s="8" r="AA693"/>
    </row>
    <row r="694">
      <c s="8" r="A694"/>
      <c s="8" r="B694"/>
      <c s="8" r="C694"/>
      <c s="8" r="D694"/>
      <c s="8" r="E694"/>
      <c s="8" r="F694"/>
      <c s="8" r="G694"/>
      <c s="8" r="H694"/>
      <c s="8" r="I694"/>
      <c s="8" r="J694"/>
      <c s="8" r="K694"/>
      <c s="8" r="L694"/>
      <c s="8" r="M694"/>
      <c s="8" r="N694"/>
      <c s="8" r="O694"/>
      <c s="8" r="P694"/>
      <c s="8" r="Q694"/>
      <c s="8" r="R694"/>
      <c s="8" r="S694"/>
      <c s="8" r="T694"/>
      <c s="8" r="U694"/>
      <c s="8" r="V694"/>
      <c s="8" r="W694"/>
      <c s="8" r="X694"/>
      <c s="8" r="Y694"/>
      <c s="8" r="Z694"/>
      <c s="8" r="AA694"/>
    </row>
    <row r="695">
      <c s="8" r="A695"/>
      <c s="8" r="B695"/>
      <c s="8" r="C695"/>
      <c s="8" r="D695"/>
      <c s="8" r="E695"/>
      <c s="8" r="F695"/>
      <c s="8" r="G695"/>
      <c s="8" r="H695"/>
      <c s="8" r="I695"/>
      <c s="8" r="J695"/>
      <c s="8" r="K695"/>
      <c s="8" r="L695"/>
      <c s="8" r="M695"/>
      <c s="8" r="N695"/>
      <c s="8" r="O695"/>
      <c s="8" r="P695"/>
      <c s="8" r="Q695"/>
      <c s="8" r="R695"/>
      <c s="8" r="S695"/>
      <c s="8" r="T695"/>
      <c s="8" r="U695"/>
      <c s="8" r="V695"/>
      <c s="8" r="W695"/>
      <c s="8" r="X695"/>
      <c s="8" r="Y695"/>
      <c s="8" r="Z695"/>
      <c s="8" r="AA695"/>
    </row>
    <row r="696">
      <c s="8" r="A696"/>
      <c s="8" r="B696"/>
      <c s="8" r="C696"/>
      <c s="8" r="D696"/>
      <c s="8" r="E696"/>
      <c s="8" r="F696"/>
      <c s="8" r="G696"/>
      <c s="8" r="H696"/>
      <c s="8" r="I696"/>
      <c s="8" r="J696"/>
      <c s="8" r="K696"/>
      <c s="8" r="L696"/>
      <c s="8" r="M696"/>
      <c s="8" r="N696"/>
      <c s="8" r="O696"/>
      <c s="8" r="P696"/>
      <c s="8" r="Q696"/>
      <c s="8" r="R696"/>
      <c s="8" r="S696"/>
      <c s="8" r="T696"/>
      <c s="8" r="U696"/>
      <c s="8" r="V696"/>
      <c s="8" r="W696"/>
      <c s="8" r="X696"/>
      <c s="8" r="Y696"/>
      <c s="8" r="Z696"/>
      <c s="8" r="AA696"/>
    </row>
    <row r="697">
      <c s="8" r="A697"/>
      <c s="8" r="B697"/>
      <c s="8" r="C697"/>
      <c s="8" r="D697"/>
      <c s="8" r="E697"/>
      <c s="8" r="F697"/>
      <c s="8" r="G697"/>
      <c s="8" r="H697"/>
      <c s="8" r="I697"/>
      <c s="8" r="J697"/>
      <c s="8" r="K697"/>
      <c s="8" r="L697"/>
      <c s="8" r="M697"/>
      <c s="8" r="N697"/>
      <c s="8" r="O697"/>
      <c s="8" r="P697"/>
      <c s="8" r="Q697"/>
      <c s="8" r="R697"/>
      <c s="8" r="S697"/>
      <c s="8" r="T697"/>
      <c s="8" r="U697"/>
      <c s="8" r="V697"/>
      <c s="8" r="W697"/>
      <c s="8" r="X697"/>
      <c s="8" r="Y697"/>
      <c s="8" r="Z697"/>
      <c s="8" r="AA697"/>
    </row>
    <row r="698">
      <c s="8" r="A698"/>
      <c s="8" r="B698"/>
      <c s="8" r="C698"/>
      <c s="8" r="D698"/>
      <c s="8" r="E698"/>
      <c s="8" r="F698"/>
      <c s="8" r="G698"/>
      <c s="8" r="H698"/>
      <c s="8" r="I698"/>
      <c s="8" r="J698"/>
      <c s="8" r="K698"/>
      <c s="8" r="L698"/>
      <c s="8" r="M698"/>
      <c s="8" r="N698"/>
      <c s="8" r="O698"/>
      <c s="8" r="P698"/>
      <c s="8" r="Q698"/>
      <c s="8" r="R698"/>
      <c s="8" r="S698"/>
      <c s="8" r="T698"/>
      <c s="8" r="U698"/>
      <c s="8" r="V698"/>
      <c s="8" r="W698"/>
      <c s="8" r="X698"/>
      <c s="8" r="Y698"/>
      <c s="8" r="Z698"/>
      <c s="8" r="AA698"/>
    </row>
    <row r="699">
      <c s="8" r="A699"/>
      <c s="8" r="B699"/>
      <c s="8" r="C699"/>
      <c s="8" r="D699"/>
      <c s="8" r="E699"/>
      <c s="8" r="F699"/>
      <c s="8" r="G699"/>
      <c s="8" r="H699"/>
      <c s="8" r="I699"/>
      <c s="8" r="J699"/>
      <c s="8" r="K699"/>
      <c s="8" r="L699"/>
      <c s="8" r="M699"/>
      <c s="8" r="N699"/>
      <c s="8" r="O699"/>
      <c s="8" r="P699"/>
      <c s="8" r="Q699"/>
      <c s="8" r="R699"/>
      <c s="8" r="S699"/>
      <c s="8" r="T699"/>
      <c s="8" r="U699"/>
      <c s="8" r="V699"/>
      <c s="8" r="W699"/>
      <c s="8" r="X699"/>
      <c s="8" r="Y699"/>
      <c s="8" r="Z699"/>
      <c s="8" r="AA699"/>
    </row>
    <row r="700">
      <c s="8" r="A700"/>
      <c s="8" r="B700"/>
      <c s="8" r="C700"/>
      <c s="8" r="D700"/>
      <c s="8" r="E700"/>
      <c s="8" r="F700"/>
      <c s="8" r="G700"/>
      <c s="8" r="H700"/>
      <c s="8" r="I700"/>
      <c s="8" r="J700"/>
      <c s="8" r="K700"/>
      <c s="8" r="L700"/>
      <c s="8" r="M700"/>
      <c s="8" r="N700"/>
      <c s="8" r="O700"/>
      <c s="8" r="P700"/>
      <c s="8" r="Q700"/>
      <c s="8" r="R700"/>
      <c s="8" r="S700"/>
      <c s="8" r="T700"/>
      <c s="8" r="U700"/>
      <c s="8" r="V700"/>
      <c s="8" r="W700"/>
      <c s="8" r="X700"/>
      <c s="8" r="Y700"/>
      <c s="8" r="Z700"/>
      <c s="8" r="AA700"/>
    </row>
    <row r="701">
      <c s="8" r="A701"/>
      <c s="8" r="B701"/>
      <c s="8" r="C701"/>
      <c s="8" r="D701"/>
      <c s="8" r="E701"/>
      <c s="8" r="F701"/>
      <c s="8" r="G701"/>
      <c s="8" r="H701"/>
      <c s="8" r="I701"/>
      <c s="8" r="J701"/>
      <c s="8" r="K701"/>
      <c s="8" r="L701"/>
      <c s="8" r="M701"/>
      <c s="8" r="N701"/>
      <c s="8" r="O701"/>
      <c s="8" r="P701"/>
      <c s="8" r="Q701"/>
      <c s="8" r="R701"/>
      <c s="8" r="S701"/>
      <c s="8" r="T701"/>
      <c s="8" r="U701"/>
      <c s="8" r="V701"/>
      <c s="8" r="W701"/>
      <c s="8" r="X701"/>
      <c s="8" r="Y701"/>
      <c s="8" r="Z701"/>
      <c s="8" r="AA701"/>
    </row>
    <row r="702">
      <c s="8" r="A702"/>
      <c s="8" r="B702"/>
      <c s="8" r="C702"/>
      <c s="8" r="D702"/>
      <c s="8" r="E702"/>
      <c s="8" r="F702"/>
      <c s="8" r="G702"/>
      <c s="8" r="H702"/>
      <c s="8" r="I702"/>
      <c s="8" r="J702"/>
      <c s="8" r="K702"/>
      <c s="8" r="L702"/>
      <c s="8" r="M702"/>
      <c s="8" r="N702"/>
      <c s="8" r="O702"/>
      <c s="8" r="P702"/>
      <c s="8" r="Q702"/>
      <c s="8" r="R702"/>
      <c s="8" r="S702"/>
      <c s="8" r="T702"/>
      <c s="8" r="U702"/>
      <c s="8" r="V702"/>
      <c s="8" r="W702"/>
      <c s="8" r="X702"/>
      <c s="8" r="Y702"/>
      <c s="8" r="Z702"/>
      <c s="8" r="AA702"/>
    </row>
    <row r="703">
      <c s="8" r="A703"/>
      <c s="8" r="B703"/>
      <c s="8" r="C703"/>
      <c s="8" r="D703"/>
      <c s="8" r="E703"/>
      <c s="8" r="F703"/>
      <c s="8" r="G703"/>
      <c s="8" r="H703"/>
      <c s="8" r="I703"/>
      <c s="8" r="J703"/>
      <c s="8" r="K703"/>
      <c s="8" r="L703"/>
      <c s="8" r="M703"/>
      <c s="8" r="N703"/>
      <c s="8" r="O703"/>
      <c s="8" r="P703"/>
      <c s="8" r="Q703"/>
      <c s="8" r="R703"/>
      <c s="8" r="S703"/>
      <c s="8" r="T703"/>
      <c s="8" r="U703"/>
      <c s="8" r="V703"/>
      <c s="8" r="W703"/>
      <c s="8" r="X703"/>
      <c s="8" r="Y703"/>
      <c s="8" r="Z703"/>
      <c s="8" r="AA703"/>
    </row>
    <row r="704">
      <c s="8" r="A704"/>
      <c s="8" r="B704"/>
      <c s="8" r="C704"/>
      <c s="8" r="D704"/>
      <c s="8" r="E704"/>
      <c s="8" r="F704"/>
      <c s="8" r="G704"/>
      <c s="8" r="H704"/>
      <c s="8" r="I704"/>
      <c s="8" r="J704"/>
      <c s="8" r="K704"/>
      <c s="8" r="L704"/>
      <c s="8" r="M704"/>
      <c s="8" r="N704"/>
      <c s="8" r="O704"/>
      <c s="8" r="P704"/>
      <c s="8" r="Q704"/>
      <c s="8" r="R704"/>
      <c s="8" r="S704"/>
      <c s="8" r="T704"/>
      <c s="8" r="U704"/>
      <c s="8" r="V704"/>
      <c s="8" r="W704"/>
      <c s="8" r="X704"/>
      <c s="8" r="Y704"/>
      <c s="8" r="Z704"/>
      <c s="8" r="AA704"/>
    </row>
    <row r="705">
      <c s="8" r="A705"/>
      <c s="8" r="B705"/>
      <c s="8" r="C705"/>
      <c s="8" r="D705"/>
      <c s="8" r="E705"/>
      <c s="8" r="F705"/>
      <c s="8" r="G705"/>
      <c s="8" r="H705"/>
      <c s="8" r="I705"/>
      <c s="8" r="J705"/>
      <c s="8" r="K705"/>
      <c s="8" r="L705"/>
      <c s="8" r="M705"/>
      <c s="8" r="N705"/>
      <c s="8" r="O705"/>
      <c s="8" r="P705"/>
      <c s="8" r="Q705"/>
      <c s="8" r="R705"/>
      <c s="8" r="S705"/>
      <c s="8" r="T705"/>
      <c s="8" r="U705"/>
      <c s="8" r="V705"/>
      <c s="8" r="W705"/>
      <c s="8" r="X705"/>
      <c s="8" r="Y705"/>
      <c s="8" r="Z705"/>
      <c s="8" r="AA705"/>
    </row>
    <row r="706">
      <c s="8" r="A706"/>
      <c s="8" r="B706"/>
      <c s="8" r="C706"/>
      <c s="8" r="D706"/>
      <c s="8" r="E706"/>
      <c s="8" r="F706"/>
      <c s="8" r="G706"/>
      <c s="8" r="H706"/>
      <c s="8" r="I706"/>
      <c s="8" r="J706"/>
      <c s="8" r="K706"/>
      <c s="8" r="L706"/>
      <c s="8" r="M706"/>
      <c s="8" r="N706"/>
      <c s="8" r="O706"/>
      <c s="8" r="P706"/>
      <c s="8" r="Q706"/>
      <c s="8" r="R706"/>
      <c s="8" r="S706"/>
      <c s="8" r="T706"/>
      <c s="8" r="U706"/>
      <c s="8" r="V706"/>
      <c s="8" r="W706"/>
      <c s="8" r="X706"/>
      <c s="8" r="Y706"/>
      <c s="8" r="Z706"/>
      <c s="8" r="AA706"/>
    </row>
    <row r="707">
      <c s="8" r="A707"/>
      <c s="8" r="B707"/>
      <c s="8" r="C707"/>
      <c s="8" r="D707"/>
      <c s="8" r="E707"/>
      <c s="8" r="F707"/>
      <c s="8" r="G707"/>
      <c s="8" r="H707"/>
      <c s="8" r="I707"/>
      <c s="8" r="J707"/>
      <c s="8" r="K707"/>
      <c s="8" r="L707"/>
      <c s="8" r="M707"/>
      <c s="8" r="N707"/>
      <c s="8" r="O707"/>
      <c s="8" r="P707"/>
      <c s="8" r="Q707"/>
      <c s="8" r="R707"/>
      <c s="8" r="S707"/>
      <c s="8" r="T707"/>
      <c s="8" r="U707"/>
      <c s="8" r="V707"/>
      <c s="8" r="W707"/>
      <c s="8" r="X707"/>
      <c s="8" r="Y707"/>
      <c s="8" r="Z707"/>
      <c s="8" r="AA707"/>
    </row>
    <row r="708">
      <c s="8" r="A708"/>
      <c s="8" r="B708"/>
      <c s="8" r="C708"/>
      <c s="8" r="D708"/>
      <c s="8" r="E708"/>
      <c s="8" r="F708"/>
      <c s="8" r="G708"/>
      <c s="8" r="H708"/>
      <c s="8" r="I708"/>
      <c s="8" r="J708"/>
      <c s="8" r="K708"/>
      <c s="8" r="L708"/>
      <c s="8" r="M708"/>
      <c s="8" r="N708"/>
      <c s="8" r="O708"/>
      <c s="8" r="P708"/>
      <c s="8" r="Q708"/>
      <c s="8" r="R708"/>
      <c s="8" r="S708"/>
      <c s="8" r="T708"/>
      <c s="8" r="U708"/>
      <c s="8" r="V708"/>
      <c s="8" r="W708"/>
      <c s="8" r="X708"/>
      <c s="8" r="Y708"/>
      <c s="8" r="Z708"/>
      <c s="8" r="AA708"/>
    </row>
    <row r="709">
      <c s="8" r="A709"/>
      <c s="8" r="B709"/>
      <c s="8" r="C709"/>
      <c s="8" r="D709"/>
      <c s="8" r="E709"/>
      <c s="8" r="F709"/>
      <c s="8" r="G709"/>
      <c s="8" r="H709"/>
      <c s="8" r="I709"/>
      <c s="8" r="J709"/>
      <c s="8" r="K709"/>
      <c s="8" r="L709"/>
      <c s="8" r="M709"/>
      <c s="8" r="N709"/>
      <c s="8" r="O709"/>
      <c s="8" r="P709"/>
      <c s="8" r="Q709"/>
      <c s="8" r="R709"/>
      <c s="8" r="S709"/>
      <c s="8" r="T709"/>
      <c s="8" r="U709"/>
      <c s="8" r="V709"/>
      <c s="8" r="W709"/>
      <c s="8" r="X709"/>
      <c s="8" r="Y709"/>
      <c s="8" r="Z709"/>
      <c s="8" r="AA709"/>
    </row>
    <row r="710">
      <c s="8" r="A710"/>
      <c s="8" r="B710"/>
      <c s="8" r="C710"/>
      <c s="8" r="D710"/>
      <c s="8" r="E710"/>
      <c s="8" r="F710"/>
      <c s="8" r="G710"/>
      <c s="8" r="H710"/>
      <c s="8" r="I710"/>
      <c s="8" r="J710"/>
      <c s="8" r="K710"/>
      <c s="8" r="L710"/>
      <c s="8" r="M710"/>
      <c s="8" r="N710"/>
      <c s="8" r="O710"/>
      <c s="8" r="P710"/>
      <c s="8" r="Q710"/>
      <c s="8" r="R710"/>
      <c s="8" r="S710"/>
      <c s="8" r="T710"/>
      <c s="8" r="U710"/>
      <c s="8" r="V710"/>
      <c s="8" r="W710"/>
      <c s="8" r="X710"/>
      <c s="8" r="Y710"/>
      <c s="8" r="Z710"/>
      <c s="8" r="AA710"/>
    </row>
    <row r="711">
      <c s="8" r="A711"/>
      <c s="8" r="B711"/>
      <c s="8" r="C711"/>
      <c s="8" r="D711"/>
      <c s="8" r="E711"/>
      <c s="8" r="F711"/>
      <c s="8" r="G711"/>
      <c s="8" r="H711"/>
      <c s="8" r="I711"/>
      <c s="8" r="J711"/>
      <c s="8" r="K711"/>
      <c s="8" r="L711"/>
      <c s="8" r="M711"/>
      <c s="8" r="N711"/>
      <c s="8" r="O711"/>
      <c s="8" r="P711"/>
      <c s="8" r="Q711"/>
      <c s="8" r="R711"/>
      <c s="8" r="S711"/>
      <c s="8" r="T711"/>
      <c s="8" r="U711"/>
      <c s="8" r="V711"/>
      <c s="8" r="W711"/>
      <c s="8" r="X711"/>
      <c s="8" r="Y711"/>
      <c s="8" r="Z711"/>
      <c s="8" r="AA711"/>
    </row>
    <row r="712">
      <c s="8" r="A712"/>
      <c s="8" r="B712"/>
      <c s="8" r="C712"/>
      <c s="8" r="D712"/>
      <c s="8" r="E712"/>
      <c s="8" r="F712"/>
      <c s="8" r="G712"/>
      <c s="8" r="H712"/>
      <c s="8" r="I712"/>
      <c s="8" r="J712"/>
      <c s="8" r="K712"/>
      <c s="8" r="L712"/>
      <c s="8" r="M712"/>
      <c s="8" r="N712"/>
      <c s="8" r="O712"/>
      <c s="8" r="P712"/>
      <c s="8" r="Q712"/>
      <c s="8" r="R712"/>
      <c s="8" r="S712"/>
      <c s="8" r="T712"/>
      <c s="8" r="U712"/>
      <c s="8" r="V712"/>
      <c s="8" r="W712"/>
      <c s="8" r="X712"/>
      <c s="8" r="Y712"/>
      <c s="8" r="Z712"/>
      <c s="8" r="AA712"/>
    </row>
    <row r="713">
      <c s="8" r="A713"/>
      <c s="8" r="B713"/>
      <c s="8" r="C713"/>
      <c s="8" r="D713"/>
      <c s="8" r="E713"/>
      <c s="8" r="F713"/>
      <c s="8" r="G713"/>
      <c s="8" r="H713"/>
      <c s="8" r="I713"/>
      <c s="8" r="J713"/>
      <c s="8" r="K713"/>
      <c s="8" r="L713"/>
      <c s="8" r="M713"/>
      <c s="8" r="N713"/>
      <c s="8" r="O713"/>
      <c s="8" r="P713"/>
      <c s="8" r="Q713"/>
      <c s="8" r="R713"/>
      <c s="8" r="S713"/>
      <c s="8" r="T713"/>
      <c s="8" r="U713"/>
      <c s="8" r="V713"/>
      <c s="8" r="W713"/>
      <c s="8" r="X713"/>
      <c s="8" r="Y713"/>
      <c s="8" r="Z713"/>
      <c s="8" r="AA713"/>
    </row>
    <row r="714">
      <c s="8" r="A714"/>
      <c s="8" r="B714"/>
      <c s="8" r="C714"/>
      <c s="8" r="D714"/>
      <c s="8" r="E714"/>
      <c s="8" r="F714"/>
      <c s="8" r="G714"/>
      <c s="8" r="H714"/>
      <c s="8" r="I714"/>
      <c s="8" r="J714"/>
      <c s="8" r="K714"/>
      <c s="8" r="L714"/>
      <c s="8" r="M714"/>
      <c s="8" r="N714"/>
      <c s="8" r="O714"/>
      <c s="8" r="P714"/>
      <c s="8" r="Q714"/>
      <c s="8" r="R714"/>
      <c s="8" r="S714"/>
      <c s="8" r="T714"/>
      <c s="8" r="U714"/>
      <c s="8" r="V714"/>
      <c s="8" r="W714"/>
      <c s="8" r="X714"/>
      <c s="8" r="Y714"/>
      <c s="8" r="Z714"/>
      <c s="8" r="AA714"/>
    </row>
    <row r="715">
      <c s="8" r="A715"/>
      <c s="8" r="B715"/>
      <c s="8" r="C715"/>
      <c s="8" r="D715"/>
      <c s="8" r="E715"/>
      <c s="8" r="F715"/>
      <c s="8" r="G715"/>
      <c s="8" r="H715"/>
      <c s="8" r="I715"/>
      <c s="8" r="J715"/>
      <c s="8" r="K715"/>
      <c s="8" r="L715"/>
      <c s="8" r="M715"/>
      <c s="8" r="N715"/>
      <c s="8" r="O715"/>
      <c s="8" r="P715"/>
      <c s="8" r="Q715"/>
      <c s="8" r="R715"/>
      <c s="8" r="S715"/>
      <c s="8" r="T715"/>
      <c s="8" r="U715"/>
      <c s="8" r="V715"/>
      <c s="8" r="W715"/>
      <c s="8" r="X715"/>
      <c s="8" r="Y715"/>
      <c s="8" r="Z715"/>
      <c s="8" r="AA715"/>
    </row>
    <row r="716">
      <c s="8" r="A716"/>
      <c s="8" r="B716"/>
      <c s="8" r="C716"/>
      <c s="8" r="D716"/>
      <c s="8" r="E716"/>
      <c s="8" r="F716"/>
      <c s="8" r="G716"/>
      <c s="8" r="H716"/>
      <c s="8" r="I716"/>
      <c s="8" r="J716"/>
      <c s="8" r="K716"/>
      <c s="8" r="L716"/>
      <c s="8" r="M716"/>
      <c s="8" r="N716"/>
      <c s="8" r="O716"/>
      <c s="8" r="P716"/>
      <c s="8" r="Q716"/>
      <c s="8" r="R716"/>
      <c s="8" r="S716"/>
      <c s="8" r="T716"/>
      <c s="8" r="U716"/>
      <c s="8" r="V716"/>
      <c s="8" r="W716"/>
      <c s="8" r="X716"/>
      <c s="8" r="Y716"/>
      <c s="8" r="Z716"/>
      <c s="8" r="AA716"/>
    </row>
    <row r="717">
      <c s="8" r="A717"/>
      <c s="8" r="B717"/>
      <c s="8" r="C717"/>
      <c s="8" r="D717"/>
      <c s="8" r="E717"/>
      <c s="8" r="F717"/>
      <c s="8" r="G717"/>
      <c s="8" r="H717"/>
      <c s="8" r="I717"/>
      <c s="8" r="J717"/>
      <c s="8" r="K717"/>
      <c s="8" r="L717"/>
      <c s="8" r="M717"/>
      <c s="8" r="N717"/>
      <c s="8" r="O717"/>
      <c s="8" r="P717"/>
      <c s="8" r="Q717"/>
      <c s="8" r="R717"/>
      <c s="8" r="S717"/>
      <c s="8" r="T717"/>
      <c s="8" r="U717"/>
      <c s="8" r="V717"/>
      <c s="8" r="W717"/>
      <c s="8" r="X717"/>
      <c s="8" r="Y717"/>
      <c s="8" r="Z717"/>
      <c s="8" r="AA717"/>
    </row>
    <row r="718">
      <c s="8" r="A718"/>
      <c s="8" r="B718"/>
      <c s="8" r="C718"/>
      <c s="8" r="D718"/>
      <c s="8" r="E718"/>
      <c s="8" r="F718"/>
      <c s="8" r="G718"/>
      <c s="8" r="H718"/>
      <c s="8" r="I718"/>
      <c s="8" r="J718"/>
      <c s="8" r="K718"/>
      <c s="8" r="L718"/>
      <c s="8" r="M718"/>
      <c s="8" r="N718"/>
      <c s="8" r="O718"/>
      <c s="8" r="P718"/>
      <c s="8" r="Q718"/>
      <c s="8" r="R718"/>
      <c s="8" r="S718"/>
      <c s="8" r="T718"/>
      <c s="8" r="U718"/>
      <c s="8" r="V718"/>
      <c s="8" r="W718"/>
      <c s="8" r="X718"/>
      <c s="8" r="Y718"/>
      <c s="8" r="Z718"/>
      <c s="8" r="AA718"/>
    </row>
    <row r="719">
      <c s="8" r="A719"/>
      <c s="8" r="B719"/>
      <c s="8" r="C719"/>
      <c s="8" r="D719"/>
      <c s="8" r="E719"/>
      <c s="8" r="F719"/>
      <c s="8" r="G719"/>
      <c s="8" r="H719"/>
      <c s="8" r="I719"/>
      <c s="8" r="J719"/>
      <c s="8" r="K719"/>
      <c s="8" r="L719"/>
      <c s="8" r="M719"/>
      <c s="8" r="N719"/>
      <c s="8" r="O719"/>
      <c s="8" r="P719"/>
      <c s="8" r="Q719"/>
      <c s="8" r="R719"/>
      <c s="8" r="S719"/>
      <c s="8" r="T719"/>
      <c s="8" r="U719"/>
      <c s="8" r="V719"/>
      <c s="8" r="W719"/>
      <c s="8" r="X719"/>
      <c s="8" r="Y719"/>
      <c s="8" r="Z719"/>
      <c s="8" r="AA719"/>
    </row>
    <row r="720">
      <c s="8" r="A720"/>
      <c s="8" r="B720"/>
      <c s="8" r="C720"/>
      <c s="8" r="D720"/>
      <c s="8" r="E720"/>
      <c s="8" r="F720"/>
      <c s="8" r="G720"/>
      <c s="8" r="H720"/>
      <c s="8" r="I720"/>
      <c s="8" r="J720"/>
      <c s="8" r="K720"/>
      <c s="8" r="L720"/>
      <c s="8" r="M720"/>
      <c s="8" r="N720"/>
      <c s="8" r="O720"/>
      <c s="8" r="P720"/>
      <c s="8" r="Q720"/>
      <c s="8" r="R720"/>
      <c s="8" r="S720"/>
      <c s="8" r="T720"/>
      <c s="8" r="U720"/>
      <c s="8" r="V720"/>
      <c s="8" r="W720"/>
      <c s="8" r="X720"/>
      <c s="8" r="Y720"/>
      <c s="8" r="Z720"/>
      <c s="8" r="AA720"/>
    </row>
    <row r="721">
      <c s="8" r="A721"/>
      <c s="8" r="B721"/>
      <c s="8" r="C721"/>
      <c s="8" r="D721"/>
      <c s="8" r="E721"/>
      <c s="8" r="F721"/>
      <c s="8" r="G721"/>
      <c s="8" r="H721"/>
      <c s="8" r="I721"/>
      <c s="8" r="J721"/>
      <c s="8" r="K721"/>
      <c s="8" r="L721"/>
      <c s="8" r="M721"/>
      <c s="8" r="N721"/>
      <c s="8" r="O721"/>
      <c s="8" r="P721"/>
      <c s="8" r="Q721"/>
      <c s="8" r="R721"/>
      <c s="8" r="S721"/>
      <c s="8" r="T721"/>
      <c s="8" r="U721"/>
      <c s="8" r="V721"/>
      <c s="8" r="W721"/>
      <c s="8" r="X721"/>
      <c s="8" r="Y721"/>
      <c s="8" r="Z721"/>
      <c s="8" r="AA721"/>
    </row>
    <row r="722">
      <c s="8" r="A722"/>
      <c s="8" r="B722"/>
      <c s="8" r="C722"/>
      <c s="8" r="D722"/>
      <c s="8" r="E722"/>
      <c s="8" r="F722"/>
      <c s="8" r="G722"/>
      <c s="8" r="H722"/>
      <c s="8" r="I722"/>
      <c s="8" r="J722"/>
      <c s="8" r="K722"/>
      <c s="8" r="L722"/>
      <c s="8" r="M722"/>
      <c s="8" r="N722"/>
      <c s="8" r="O722"/>
      <c s="8" r="P722"/>
      <c s="8" r="Q722"/>
      <c s="8" r="R722"/>
      <c s="8" r="S722"/>
      <c s="8" r="T722"/>
      <c s="8" r="U722"/>
      <c s="8" r="V722"/>
      <c s="8" r="W722"/>
      <c s="8" r="X722"/>
      <c s="8" r="Y722"/>
      <c s="8" r="Z722"/>
      <c s="8" r="AA722"/>
    </row>
    <row r="723">
      <c s="8" r="A723"/>
      <c s="8" r="B723"/>
      <c s="8" r="C723"/>
      <c s="8" r="D723"/>
      <c s="8" r="E723"/>
      <c s="8" r="F723"/>
      <c s="8" r="G723"/>
      <c s="8" r="H723"/>
      <c s="8" r="I723"/>
      <c s="8" r="J723"/>
      <c s="8" r="K723"/>
      <c s="8" r="L723"/>
      <c s="8" r="M723"/>
      <c s="8" r="N723"/>
      <c s="8" r="O723"/>
      <c s="8" r="P723"/>
      <c s="8" r="Q723"/>
      <c s="8" r="R723"/>
      <c s="8" r="S723"/>
      <c s="8" r="T723"/>
      <c s="8" r="U723"/>
      <c s="8" r="V723"/>
      <c s="8" r="W723"/>
      <c s="8" r="X723"/>
      <c s="8" r="Y723"/>
      <c s="8" r="Z723"/>
      <c s="8" r="AA723"/>
    </row>
    <row r="724">
      <c s="8" r="A724"/>
      <c s="8" r="B724"/>
      <c s="8" r="C724"/>
      <c s="8" r="D724"/>
      <c s="8" r="E724"/>
      <c s="8" r="F724"/>
      <c s="8" r="G724"/>
      <c s="8" r="H724"/>
      <c s="8" r="I724"/>
      <c s="8" r="J724"/>
      <c s="8" r="K724"/>
      <c s="8" r="L724"/>
      <c s="8" r="M724"/>
      <c s="8" r="N724"/>
      <c s="8" r="O724"/>
      <c s="8" r="P724"/>
      <c s="8" r="Q724"/>
      <c s="8" r="R724"/>
      <c s="8" r="S724"/>
      <c s="8" r="T724"/>
      <c s="8" r="U724"/>
      <c s="8" r="V724"/>
      <c s="8" r="W724"/>
      <c s="8" r="X724"/>
      <c s="8" r="Y724"/>
      <c s="8" r="Z724"/>
      <c s="8" r="AA724"/>
    </row>
    <row r="725">
      <c s="8" r="A725"/>
      <c s="8" r="B725"/>
      <c s="8" r="C725"/>
      <c s="8" r="D725"/>
      <c s="8" r="E725"/>
      <c s="8" r="F725"/>
      <c s="8" r="G725"/>
      <c s="8" r="H725"/>
      <c s="8" r="I725"/>
      <c s="8" r="J725"/>
      <c s="8" r="K725"/>
      <c s="8" r="L725"/>
      <c s="8" r="M725"/>
      <c s="8" r="N725"/>
      <c s="8" r="O725"/>
      <c s="8" r="P725"/>
      <c s="8" r="Q725"/>
      <c s="8" r="R725"/>
      <c s="8" r="S725"/>
      <c s="8" r="T725"/>
      <c s="8" r="U725"/>
      <c s="8" r="V725"/>
      <c s="8" r="W725"/>
      <c s="8" r="X725"/>
      <c s="8" r="Y725"/>
      <c s="8" r="Z725"/>
      <c s="8" r="AA725"/>
    </row>
    <row r="726">
      <c s="8" r="A726"/>
      <c s="8" r="B726"/>
      <c s="8" r="C726"/>
      <c s="8" r="D726"/>
      <c s="8" r="E726"/>
      <c s="8" r="F726"/>
      <c s="8" r="G726"/>
      <c s="8" r="H726"/>
      <c s="8" r="I726"/>
      <c s="8" r="J726"/>
      <c s="8" r="K726"/>
      <c s="8" r="L726"/>
      <c s="8" r="M726"/>
      <c s="8" r="N726"/>
      <c s="8" r="O726"/>
      <c s="8" r="P726"/>
      <c s="8" r="Q726"/>
      <c s="8" r="R726"/>
      <c s="8" r="S726"/>
      <c s="8" r="T726"/>
      <c s="8" r="U726"/>
      <c s="8" r="V726"/>
      <c s="8" r="W726"/>
      <c s="8" r="X726"/>
      <c s="8" r="Y726"/>
      <c s="8" r="Z726"/>
      <c s="8" r="AA726"/>
    </row>
    <row r="727">
      <c s="8" r="A727"/>
      <c s="8" r="B727"/>
      <c s="8" r="C727"/>
      <c s="8" r="D727"/>
      <c s="8" r="E727"/>
      <c s="8" r="F727"/>
      <c s="8" r="G727"/>
      <c s="8" r="H727"/>
      <c s="8" r="I727"/>
      <c s="8" r="J727"/>
      <c s="8" r="K727"/>
      <c s="8" r="L727"/>
      <c s="8" r="M727"/>
      <c s="8" r="N727"/>
      <c s="8" r="O727"/>
      <c s="8" r="P727"/>
      <c s="8" r="Q727"/>
      <c s="8" r="R727"/>
      <c s="8" r="S727"/>
      <c s="8" r="T727"/>
      <c s="8" r="U727"/>
      <c s="8" r="V727"/>
      <c s="8" r="W727"/>
      <c s="8" r="X727"/>
      <c s="8" r="Y727"/>
      <c s="8" r="Z727"/>
      <c s="8" r="AA727"/>
    </row>
    <row r="728">
      <c s="8" r="A728"/>
      <c s="8" r="B728"/>
      <c s="8" r="C728"/>
      <c s="8" r="D728"/>
      <c s="8" r="E728"/>
      <c s="8" r="F728"/>
      <c s="8" r="G728"/>
      <c s="8" r="H728"/>
      <c s="8" r="I728"/>
      <c s="8" r="J728"/>
      <c s="8" r="K728"/>
      <c s="8" r="L728"/>
      <c s="8" r="M728"/>
      <c s="8" r="N728"/>
      <c s="8" r="O728"/>
      <c s="8" r="P728"/>
      <c s="8" r="Q728"/>
      <c s="8" r="R728"/>
      <c s="8" r="S728"/>
      <c s="8" r="T728"/>
      <c s="8" r="U728"/>
      <c s="8" r="V728"/>
      <c s="8" r="W728"/>
      <c s="8" r="X728"/>
      <c s="8" r="Y728"/>
      <c s="8" r="Z728"/>
      <c s="8" r="AA728"/>
    </row>
    <row r="729">
      <c s="8" r="A729"/>
      <c s="8" r="B729"/>
      <c s="8" r="C729"/>
      <c s="8" r="D729"/>
      <c s="8" r="E729"/>
      <c s="8" r="F729"/>
      <c s="8" r="G729"/>
      <c s="8" r="H729"/>
      <c s="8" r="I729"/>
      <c s="8" r="J729"/>
      <c s="8" r="K729"/>
      <c s="8" r="L729"/>
      <c s="8" r="M729"/>
      <c s="8" r="N729"/>
      <c s="8" r="O729"/>
      <c s="8" r="P729"/>
      <c s="8" r="Q729"/>
      <c s="8" r="R729"/>
      <c s="8" r="S729"/>
      <c s="8" r="T729"/>
      <c s="8" r="U729"/>
      <c s="8" r="V729"/>
      <c s="8" r="W729"/>
      <c s="8" r="X729"/>
      <c s="8" r="Y729"/>
      <c s="8" r="Z729"/>
      <c s="8" r="AA729"/>
    </row>
    <row r="730">
      <c s="8" r="A730"/>
      <c s="8" r="B730"/>
      <c s="8" r="C730"/>
      <c s="8" r="D730"/>
      <c s="8" r="E730"/>
      <c s="8" r="F730"/>
      <c s="8" r="G730"/>
      <c s="8" r="H730"/>
      <c s="8" r="I730"/>
      <c s="8" r="J730"/>
      <c s="8" r="K730"/>
      <c s="8" r="L730"/>
      <c s="8" r="M730"/>
      <c s="8" r="N730"/>
      <c s="8" r="O730"/>
      <c s="8" r="P730"/>
      <c s="8" r="Q730"/>
      <c s="8" r="R730"/>
      <c s="8" r="S730"/>
      <c s="8" r="T730"/>
      <c s="8" r="U730"/>
      <c s="8" r="V730"/>
      <c s="8" r="W730"/>
      <c s="8" r="X730"/>
      <c s="8" r="Y730"/>
      <c s="8" r="Z730"/>
      <c s="8" r="AA730"/>
    </row>
    <row r="731">
      <c s="8" r="A731"/>
      <c s="8" r="B731"/>
      <c s="8" r="C731"/>
      <c s="8" r="D731"/>
      <c s="8" r="E731"/>
      <c s="8" r="F731"/>
      <c s="8" r="G731"/>
      <c s="8" r="H731"/>
      <c s="8" r="I731"/>
      <c s="8" r="J731"/>
      <c s="8" r="K731"/>
      <c s="8" r="L731"/>
      <c s="8" r="M731"/>
      <c s="8" r="N731"/>
      <c s="8" r="O731"/>
      <c s="8" r="P731"/>
      <c s="8" r="Q731"/>
      <c s="8" r="R731"/>
      <c s="8" r="S731"/>
      <c s="8" r="T731"/>
      <c s="8" r="U731"/>
      <c s="8" r="V731"/>
      <c s="8" r="W731"/>
      <c s="8" r="X731"/>
      <c s="8" r="Y731"/>
      <c s="8" r="Z731"/>
      <c s="8" r="AA731"/>
    </row>
    <row r="732">
      <c s="8" r="A732"/>
      <c s="8" r="B732"/>
      <c s="8" r="C732"/>
      <c s="8" r="D732"/>
      <c s="8" r="E732"/>
      <c s="8" r="F732"/>
      <c s="8" r="G732"/>
      <c s="8" r="H732"/>
      <c s="8" r="I732"/>
      <c s="8" r="J732"/>
      <c s="8" r="K732"/>
      <c s="8" r="L732"/>
      <c s="8" r="M732"/>
      <c s="8" r="N732"/>
      <c s="8" r="O732"/>
      <c s="8" r="P732"/>
      <c s="8" r="Q732"/>
      <c s="8" r="R732"/>
      <c s="8" r="S732"/>
      <c s="8" r="T732"/>
      <c s="8" r="U732"/>
      <c s="8" r="V732"/>
      <c s="8" r="W732"/>
      <c s="8" r="X732"/>
      <c s="8" r="Y732"/>
      <c s="8" r="Z732"/>
      <c s="8" r="AA732"/>
    </row>
    <row r="733">
      <c s="8" r="A733"/>
      <c s="8" r="B733"/>
      <c s="8" r="C733"/>
      <c s="8" r="D733"/>
      <c s="8" r="E733"/>
      <c s="8" r="F733"/>
      <c s="8" r="G733"/>
      <c s="8" r="H733"/>
      <c s="8" r="I733"/>
      <c s="8" r="J733"/>
      <c s="8" r="K733"/>
      <c s="8" r="L733"/>
      <c s="8" r="M733"/>
      <c s="8" r="N733"/>
      <c s="8" r="O733"/>
      <c s="8" r="P733"/>
      <c s="8" r="Q733"/>
      <c s="8" r="R733"/>
      <c s="8" r="S733"/>
      <c s="8" r="T733"/>
      <c s="8" r="U733"/>
      <c s="8" r="V733"/>
      <c s="8" r="W733"/>
      <c s="8" r="X733"/>
      <c s="8" r="Y733"/>
      <c s="8" r="Z733"/>
      <c s="8" r="AA733"/>
    </row>
    <row r="734">
      <c s="8" r="A734"/>
      <c s="8" r="B734"/>
      <c s="8" r="C734"/>
      <c s="8" r="D734"/>
      <c s="8" r="E734"/>
      <c s="8" r="F734"/>
      <c s="8" r="G734"/>
      <c s="8" r="H734"/>
      <c s="8" r="I734"/>
      <c s="8" r="J734"/>
      <c s="8" r="K734"/>
      <c s="8" r="L734"/>
      <c s="8" r="M734"/>
      <c s="8" r="N734"/>
      <c s="8" r="O734"/>
      <c s="8" r="P734"/>
      <c s="8" r="Q734"/>
      <c s="8" r="R734"/>
      <c s="8" r="S734"/>
      <c s="8" r="T734"/>
      <c s="8" r="U734"/>
      <c s="8" r="V734"/>
      <c s="8" r="W734"/>
      <c s="8" r="X734"/>
      <c s="8" r="Y734"/>
      <c s="8" r="Z734"/>
      <c s="8" r="AA734"/>
    </row>
    <row r="735">
      <c s="8" r="A735"/>
      <c s="8" r="B735"/>
      <c s="8" r="C735"/>
      <c s="8" r="D735"/>
      <c s="8" r="E735"/>
      <c s="8" r="F735"/>
      <c s="8" r="G735"/>
      <c s="8" r="H735"/>
      <c s="8" r="I735"/>
      <c s="8" r="J735"/>
      <c s="8" r="K735"/>
      <c s="8" r="L735"/>
      <c s="8" r="M735"/>
      <c s="8" r="N735"/>
      <c s="8" r="O735"/>
      <c s="8" r="P735"/>
      <c s="8" r="Q735"/>
      <c s="8" r="R735"/>
      <c s="8" r="S735"/>
      <c s="8" r="T735"/>
      <c s="8" r="U735"/>
      <c s="8" r="V735"/>
      <c s="8" r="W735"/>
      <c s="8" r="X735"/>
      <c s="8" r="Y735"/>
      <c s="8" r="Z735"/>
      <c s="8" r="AA735"/>
    </row>
    <row r="736">
      <c s="8" r="A736"/>
      <c s="8" r="B736"/>
      <c s="8" r="C736"/>
      <c s="8" r="D736"/>
      <c s="8" r="E736"/>
      <c s="8" r="F736"/>
      <c s="8" r="G736"/>
      <c s="8" r="H736"/>
      <c s="8" r="I736"/>
      <c s="8" r="J736"/>
      <c s="8" r="K736"/>
      <c s="8" r="L736"/>
      <c s="8" r="M736"/>
      <c s="8" r="N736"/>
      <c s="8" r="O736"/>
      <c s="8" r="P736"/>
      <c s="8" r="Q736"/>
      <c s="8" r="R736"/>
      <c s="8" r="S736"/>
      <c s="8" r="T736"/>
      <c s="8" r="U736"/>
      <c s="8" r="V736"/>
      <c s="8" r="W736"/>
      <c s="8" r="X736"/>
      <c s="8" r="Y736"/>
      <c s="8" r="Z736"/>
      <c s="8" r="AA736"/>
    </row>
    <row r="737">
      <c s="8" r="A737"/>
      <c s="8" r="B737"/>
      <c s="8" r="C737"/>
      <c s="8" r="D737"/>
      <c s="8" r="E737"/>
      <c s="8" r="F737"/>
      <c s="8" r="G737"/>
      <c s="8" r="H737"/>
      <c s="8" r="I737"/>
      <c s="8" r="J737"/>
      <c s="8" r="K737"/>
      <c s="8" r="L737"/>
      <c s="8" r="M737"/>
      <c s="8" r="N737"/>
      <c s="8" r="O737"/>
      <c s="8" r="P737"/>
      <c s="8" r="Q737"/>
      <c s="8" r="R737"/>
      <c s="8" r="S737"/>
      <c s="8" r="T737"/>
      <c s="8" r="U737"/>
      <c s="8" r="V737"/>
      <c s="8" r="W737"/>
      <c s="8" r="X737"/>
      <c s="8" r="Y737"/>
      <c s="8" r="Z737"/>
      <c s="8" r="AA737"/>
    </row>
    <row r="738">
      <c s="8" r="A738"/>
      <c s="8" r="B738"/>
      <c s="8" r="C738"/>
      <c s="8" r="D738"/>
      <c s="8" r="E738"/>
      <c s="8" r="F738"/>
      <c s="8" r="G738"/>
      <c s="8" r="H738"/>
      <c s="8" r="I738"/>
      <c s="8" r="J738"/>
      <c s="8" r="K738"/>
      <c s="8" r="L738"/>
      <c s="8" r="M738"/>
      <c s="8" r="N738"/>
      <c s="8" r="O738"/>
      <c s="8" r="P738"/>
      <c s="8" r="Q738"/>
      <c s="8" r="R738"/>
      <c s="8" r="S738"/>
      <c s="8" r="T738"/>
      <c s="8" r="U738"/>
      <c s="8" r="V738"/>
      <c s="8" r="W738"/>
      <c s="8" r="X738"/>
      <c s="8" r="Y738"/>
      <c s="8" r="Z738"/>
      <c s="8" r="AA738"/>
    </row>
    <row r="739">
      <c s="8" r="A739"/>
      <c s="8" r="B739"/>
      <c s="8" r="C739"/>
      <c s="8" r="D739"/>
      <c s="8" r="E739"/>
      <c s="8" r="F739"/>
      <c s="8" r="G739"/>
      <c s="8" r="H739"/>
      <c s="8" r="I739"/>
      <c s="8" r="J739"/>
      <c s="8" r="K739"/>
      <c s="8" r="L739"/>
      <c s="8" r="M739"/>
      <c s="8" r="N739"/>
      <c s="8" r="O739"/>
      <c s="8" r="P739"/>
      <c s="8" r="Q739"/>
      <c s="8" r="R739"/>
      <c s="8" r="S739"/>
      <c s="8" r="T739"/>
      <c s="8" r="U739"/>
      <c s="8" r="V739"/>
      <c s="8" r="W739"/>
      <c s="8" r="X739"/>
      <c s="8" r="Y739"/>
      <c s="8" r="Z739"/>
      <c s="8" r="AA739"/>
    </row>
    <row r="740">
      <c s="8" r="A740"/>
      <c s="8" r="B740"/>
      <c s="8" r="C740"/>
      <c s="8" r="D740"/>
      <c s="8" r="E740"/>
      <c s="8" r="F740"/>
      <c s="8" r="G740"/>
      <c s="8" r="H740"/>
      <c s="8" r="I740"/>
      <c s="8" r="J740"/>
      <c s="8" r="K740"/>
      <c s="8" r="L740"/>
      <c s="8" r="M740"/>
      <c s="8" r="N740"/>
      <c s="8" r="O740"/>
      <c s="8" r="P740"/>
      <c s="8" r="Q740"/>
      <c s="8" r="R740"/>
      <c s="8" r="S740"/>
      <c s="8" r="T740"/>
      <c s="8" r="U740"/>
      <c s="8" r="V740"/>
      <c s="8" r="W740"/>
      <c s="8" r="X740"/>
      <c s="8" r="Y740"/>
      <c s="8" r="Z740"/>
      <c s="8" r="AA740"/>
    </row>
    <row r="741">
      <c s="8" r="A741"/>
      <c s="8" r="B741"/>
      <c s="8" r="C741"/>
      <c s="8" r="D741"/>
      <c s="8" r="E741"/>
      <c s="8" r="F741"/>
      <c s="8" r="G741"/>
      <c s="8" r="H741"/>
      <c s="8" r="I741"/>
      <c s="8" r="J741"/>
      <c s="8" r="K741"/>
      <c s="8" r="L741"/>
      <c s="8" r="M741"/>
      <c s="8" r="N741"/>
      <c s="8" r="O741"/>
      <c s="8" r="P741"/>
      <c s="8" r="Q741"/>
      <c s="8" r="R741"/>
      <c s="8" r="S741"/>
      <c s="8" r="T741"/>
      <c s="8" r="U741"/>
      <c s="8" r="V741"/>
      <c s="8" r="W741"/>
      <c s="8" r="X741"/>
      <c s="8" r="Y741"/>
      <c s="8" r="Z741"/>
      <c s="8" r="AA741"/>
    </row>
    <row r="742">
      <c s="8" r="A742"/>
      <c s="8" r="B742"/>
      <c s="8" r="C742"/>
      <c s="8" r="D742"/>
      <c s="8" r="E742"/>
      <c s="8" r="F742"/>
      <c s="8" r="G742"/>
      <c s="8" r="H742"/>
      <c s="8" r="I742"/>
      <c s="8" r="J742"/>
      <c s="8" r="K742"/>
      <c s="8" r="L742"/>
      <c s="8" r="M742"/>
      <c s="8" r="N742"/>
      <c s="8" r="O742"/>
      <c s="8" r="P742"/>
      <c s="8" r="Q742"/>
      <c s="8" r="R742"/>
      <c s="8" r="S742"/>
      <c s="8" r="T742"/>
      <c s="8" r="U742"/>
      <c s="8" r="V742"/>
      <c s="8" r="W742"/>
      <c s="8" r="X742"/>
      <c s="8" r="Y742"/>
      <c s="8" r="Z742"/>
      <c s="8" r="AA742"/>
    </row>
    <row r="743">
      <c s="8" r="A743"/>
      <c s="8" r="B743"/>
      <c s="8" r="C743"/>
      <c s="8" r="D743"/>
      <c s="8" r="E743"/>
      <c s="8" r="F743"/>
      <c s="8" r="G743"/>
      <c s="8" r="H743"/>
      <c s="8" r="I743"/>
      <c s="8" r="J743"/>
      <c s="8" r="K743"/>
      <c s="8" r="L743"/>
      <c s="8" r="M743"/>
      <c s="8" r="N743"/>
      <c s="8" r="O743"/>
      <c s="8" r="P743"/>
      <c s="8" r="Q743"/>
      <c s="8" r="R743"/>
      <c s="8" r="S743"/>
      <c s="8" r="T743"/>
      <c s="8" r="U743"/>
      <c s="8" r="V743"/>
      <c s="8" r="W743"/>
      <c s="8" r="X743"/>
      <c s="8" r="Y743"/>
      <c s="8" r="Z743"/>
      <c s="8" r="AA743"/>
    </row>
    <row r="744">
      <c s="8" r="A744"/>
      <c s="8" r="B744"/>
      <c s="8" r="C744"/>
      <c s="8" r="D744"/>
      <c s="8" r="E744"/>
      <c s="8" r="F744"/>
      <c s="8" r="G744"/>
      <c s="8" r="H744"/>
      <c s="8" r="I744"/>
      <c s="8" r="J744"/>
      <c s="8" r="K744"/>
      <c s="8" r="L744"/>
      <c s="8" r="M744"/>
      <c s="8" r="N744"/>
      <c s="8" r="O744"/>
      <c s="8" r="P744"/>
      <c s="8" r="Q744"/>
      <c s="8" r="R744"/>
      <c s="8" r="S744"/>
      <c s="8" r="T744"/>
      <c s="8" r="U744"/>
      <c s="8" r="V744"/>
      <c s="8" r="W744"/>
      <c s="8" r="X744"/>
      <c s="8" r="Y744"/>
      <c s="8" r="Z744"/>
      <c s="8" r="AA744"/>
    </row>
    <row r="745">
      <c s="8" r="A745"/>
      <c s="8" r="B745"/>
      <c s="8" r="C745"/>
      <c s="8" r="D745"/>
      <c s="8" r="E745"/>
      <c s="8" r="F745"/>
      <c s="8" r="G745"/>
      <c s="8" r="H745"/>
      <c s="8" r="I745"/>
      <c s="8" r="J745"/>
      <c s="8" r="K745"/>
      <c s="8" r="L745"/>
      <c s="8" r="M745"/>
      <c s="8" r="N745"/>
      <c s="8" r="O745"/>
      <c s="8" r="P745"/>
      <c s="8" r="Q745"/>
      <c s="8" r="R745"/>
      <c s="8" r="S745"/>
      <c s="8" r="T745"/>
      <c s="8" r="U745"/>
      <c s="8" r="V745"/>
      <c s="8" r="W745"/>
      <c s="8" r="X745"/>
      <c s="8" r="Y745"/>
      <c s="8" r="Z745"/>
      <c s="8" r="AA745"/>
    </row>
    <row r="746">
      <c s="8" r="A746"/>
      <c s="8" r="B746"/>
      <c s="8" r="C746"/>
      <c s="8" r="D746"/>
      <c s="8" r="E746"/>
      <c s="8" r="F746"/>
      <c s="8" r="G746"/>
      <c s="8" r="H746"/>
      <c s="8" r="I746"/>
      <c s="8" r="J746"/>
      <c s="8" r="K746"/>
      <c s="8" r="L746"/>
      <c s="8" r="M746"/>
      <c s="8" r="N746"/>
      <c s="8" r="O746"/>
      <c s="8" r="P746"/>
      <c s="8" r="Q746"/>
      <c s="8" r="R746"/>
      <c s="8" r="S746"/>
      <c s="8" r="T746"/>
      <c s="8" r="U746"/>
      <c s="8" r="V746"/>
      <c s="8" r="W746"/>
      <c s="8" r="X746"/>
      <c s="8" r="Y746"/>
      <c s="8" r="Z746"/>
      <c s="8" r="AA746"/>
    </row>
    <row r="747">
      <c s="8" r="A747"/>
      <c s="8" r="B747"/>
      <c s="8" r="C747"/>
      <c s="8" r="D747"/>
      <c s="8" r="E747"/>
      <c s="8" r="F747"/>
      <c s="8" r="G747"/>
      <c s="8" r="H747"/>
      <c s="8" r="I747"/>
      <c s="8" r="J747"/>
      <c s="8" r="K747"/>
      <c s="8" r="L747"/>
      <c s="8" r="M747"/>
      <c s="8" r="N747"/>
      <c s="8" r="O747"/>
      <c s="8" r="P747"/>
      <c s="8" r="Q747"/>
      <c s="8" r="R747"/>
      <c s="8" r="S747"/>
      <c s="8" r="T747"/>
      <c s="8" r="U747"/>
      <c s="8" r="V747"/>
      <c s="8" r="W747"/>
      <c s="8" r="X747"/>
      <c s="8" r="Y747"/>
      <c s="8" r="Z747"/>
      <c s="8" r="AA747"/>
    </row>
    <row r="748">
      <c s="8" r="A748"/>
      <c s="8" r="B748"/>
      <c s="8" r="C748"/>
      <c s="8" r="D748"/>
      <c s="8" r="E748"/>
      <c s="8" r="F748"/>
      <c s="8" r="G748"/>
      <c s="8" r="H748"/>
      <c s="8" r="I748"/>
      <c s="8" r="J748"/>
      <c s="8" r="K748"/>
      <c s="8" r="L748"/>
      <c s="8" r="M748"/>
      <c s="8" r="N748"/>
      <c s="8" r="O748"/>
      <c s="8" r="P748"/>
      <c s="8" r="Q748"/>
      <c s="8" r="R748"/>
      <c s="8" r="S748"/>
      <c s="8" r="T748"/>
      <c s="8" r="U748"/>
      <c s="8" r="V748"/>
      <c s="8" r="W748"/>
      <c s="8" r="X748"/>
      <c s="8" r="Y748"/>
      <c s="8" r="Z748"/>
      <c s="8" r="AA748"/>
    </row>
    <row r="749">
      <c s="8" r="A749"/>
      <c s="8" r="B749"/>
      <c s="8" r="C749"/>
      <c s="8" r="D749"/>
      <c s="8" r="E749"/>
      <c s="8" r="F749"/>
      <c s="8" r="G749"/>
      <c s="8" r="H749"/>
      <c s="8" r="I749"/>
      <c s="8" r="J749"/>
      <c s="8" r="K749"/>
      <c s="8" r="L749"/>
      <c s="8" r="M749"/>
      <c s="8" r="N749"/>
      <c s="8" r="O749"/>
      <c s="8" r="P749"/>
      <c s="8" r="Q749"/>
      <c s="8" r="R749"/>
      <c s="8" r="S749"/>
      <c s="8" r="T749"/>
      <c s="8" r="U749"/>
      <c s="8" r="V749"/>
      <c s="8" r="W749"/>
      <c s="8" r="X749"/>
      <c s="8" r="Y749"/>
      <c s="8" r="Z749"/>
      <c s="8" r="AA749"/>
    </row>
    <row r="750">
      <c s="8" r="A750"/>
      <c s="8" r="B750"/>
      <c s="8" r="C750"/>
      <c s="8" r="D750"/>
      <c s="8" r="E750"/>
      <c s="8" r="F750"/>
      <c s="8" r="G750"/>
      <c s="8" r="H750"/>
      <c s="8" r="I750"/>
      <c s="8" r="J750"/>
      <c s="8" r="K750"/>
      <c s="8" r="L750"/>
      <c s="8" r="M750"/>
      <c s="8" r="N750"/>
      <c s="8" r="O750"/>
      <c s="8" r="P750"/>
      <c s="8" r="Q750"/>
      <c s="8" r="R750"/>
      <c s="8" r="S750"/>
      <c s="8" r="T750"/>
      <c s="8" r="U750"/>
      <c s="8" r="V750"/>
      <c s="8" r="W750"/>
      <c s="8" r="X750"/>
      <c s="8" r="Y750"/>
      <c s="8" r="Z750"/>
      <c s="8" r="AA750"/>
    </row>
    <row r="751">
      <c s="8" r="A751"/>
      <c s="8" r="B751"/>
      <c s="8" r="C751"/>
      <c s="8" r="D751"/>
      <c s="8" r="E751"/>
      <c s="8" r="F751"/>
      <c s="8" r="G751"/>
      <c s="8" r="H751"/>
      <c s="8" r="I751"/>
      <c s="8" r="J751"/>
      <c s="8" r="K751"/>
      <c s="8" r="L751"/>
      <c s="8" r="M751"/>
      <c s="8" r="N751"/>
      <c s="8" r="O751"/>
      <c s="8" r="P751"/>
      <c s="8" r="Q751"/>
      <c s="8" r="R751"/>
      <c s="8" r="S751"/>
      <c s="8" r="T751"/>
      <c s="8" r="U751"/>
      <c s="8" r="V751"/>
      <c s="8" r="W751"/>
      <c s="8" r="X751"/>
      <c s="8" r="Y751"/>
      <c s="8" r="Z751"/>
      <c s="8" r="AA751"/>
    </row>
    <row r="752">
      <c s="8" r="A752"/>
      <c s="8" r="B752"/>
      <c s="8" r="C752"/>
      <c s="8" r="D752"/>
      <c s="8" r="E752"/>
      <c s="8" r="F752"/>
      <c s="8" r="G752"/>
      <c s="8" r="H752"/>
      <c s="8" r="I752"/>
      <c s="8" r="J752"/>
      <c s="8" r="K752"/>
      <c s="8" r="L752"/>
      <c s="8" r="M752"/>
      <c s="8" r="N752"/>
      <c s="8" r="O752"/>
      <c s="8" r="P752"/>
      <c s="8" r="Q752"/>
      <c s="8" r="R752"/>
      <c s="8" r="S752"/>
      <c s="8" r="T752"/>
      <c s="8" r="U752"/>
      <c s="8" r="V752"/>
      <c s="8" r="W752"/>
      <c s="8" r="X752"/>
      <c s="8" r="Y752"/>
      <c s="8" r="Z752"/>
      <c s="8" r="AA752"/>
    </row>
    <row r="753">
      <c s="8" r="A753"/>
      <c s="8" r="B753"/>
      <c s="8" r="C753"/>
      <c s="8" r="D753"/>
      <c s="8" r="E753"/>
      <c s="8" r="F753"/>
      <c s="8" r="G753"/>
      <c s="8" r="H753"/>
      <c s="8" r="I753"/>
      <c s="8" r="J753"/>
      <c s="8" r="K753"/>
      <c s="8" r="L753"/>
      <c s="8" r="M753"/>
      <c s="8" r="N753"/>
      <c s="8" r="O753"/>
      <c s="8" r="P753"/>
      <c s="8" r="Q753"/>
      <c s="8" r="R753"/>
      <c s="8" r="S753"/>
      <c s="8" r="T753"/>
      <c s="8" r="U753"/>
      <c s="8" r="V753"/>
      <c s="8" r="W753"/>
      <c s="8" r="X753"/>
      <c s="8" r="Y753"/>
      <c s="8" r="Z753"/>
      <c s="8" r="AA753"/>
    </row>
    <row r="754">
      <c s="8" r="A754"/>
      <c s="8" r="B754"/>
      <c s="8" r="C754"/>
      <c s="8" r="D754"/>
      <c s="8" r="E754"/>
      <c s="8" r="F754"/>
      <c s="8" r="G754"/>
      <c s="8" r="H754"/>
      <c s="8" r="I754"/>
      <c s="8" r="J754"/>
      <c s="8" r="K754"/>
      <c s="8" r="L754"/>
      <c s="8" r="M754"/>
      <c s="8" r="N754"/>
      <c s="8" r="O754"/>
      <c s="8" r="P754"/>
      <c s="8" r="Q754"/>
      <c s="8" r="R754"/>
      <c s="8" r="S754"/>
      <c s="8" r="T754"/>
      <c s="8" r="U754"/>
      <c s="8" r="V754"/>
      <c s="8" r="W754"/>
      <c s="8" r="X754"/>
      <c s="8" r="Y754"/>
      <c s="8" r="Z754"/>
      <c s="8" r="AA754"/>
    </row>
    <row r="755">
      <c s="8" r="A755"/>
      <c s="8" r="B755"/>
      <c s="8" r="C755"/>
      <c s="8" r="D755"/>
      <c s="8" r="E755"/>
      <c s="8" r="F755"/>
      <c s="8" r="G755"/>
      <c s="8" r="H755"/>
      <c s="8" r="I755"/>
      <c s="8" r="J755"/>
      <c s="8" r="K755"/>
      <c s="8" r="L755"/>
      <c s="8" r="M755"/>
      <c s="8" r="N755"/>
      <c s="8" r="O755"/>
      <c s="8" r="P755"/>
      <c s="8" r="Q755"/>
      <c s="8" r="R755"/>
      <c s="8" r="S755"/>
      <c s="8" r="T755"/>
      <c s="8" r="U755"/>
      <c s="8" r="V755"/>
      <c s="8" r="W755"/>
      <c s="8" r="X755"/>
      <c s="8" r="Y755"/>
      <c s="8" r="Z755"/>
      <c s="8" r="AA755"/>
    </row>
    <row r="756">
      <c s="8" r="A756"/>
      <c s="8" r="B756"/>
      <c s="8" r="C756"/>
      <c s="8" r="D756"/>
      <c s="8" r="E756"/>
      <c s="8" r="F756"/>
      <c s="8" r="G756"/>
      <c s="8" r="H756"/>
      <c s="8" r="I756"/>
      <c s="8" r="J756"/>
      <c s="8" r="K756"/>
      <c s="8" r="L756"/>
      <c s="8" r="M756"/>
      <c s="8" r="N756"/>
      <c s="8" r="O756"/>
      <c s="8" r="P756"/>
      <c s="8" r="Q756"/>
      <c s="8" r="R756"/>
      <c s="8" r="S756"/>
      <c s="8" r="T756"/>
      <c s="8" r="U756"/>
      <c s="8" r="V756"/>
      <c s="8" r="W756"/>
      <c s="8" r="X756"/>
      <c s="8" r="Y756"/>
      <c s="8" r="Z756"/>
      <c s="8" r="AA756"/>
    </row>
    <row r="757">
      <c s="8" r="A757"/>
      <c s="8" r="B757"/>
      <c s="8" r="C757"/>
      <c s="8" r="D757"/>
      <c s="8" r="E757"/>
      <c s="8" r="F757"/>
      <c s="8" r="G757"/>
      <c s="8" r="H757"/>
      <c s="8" r="I757"/>
      <c s="8" r="J757"/>
      <c s="8" r="K757"/>
      <c s="8" r="L757"/>
      <c s="8" r="M757"/>
      <c s="8" r="N757"/>
      <c s="8" r="O757"/>
      <c s="8" r="P757"/>
      <c s="8" r="Q757"/>
      <c s="8" r="R757"/>
      <c s="8" r="S757"/>
      <c s="8" r="T757"/>
      <c s="8" r="U757"/>
      <c s="8" r="V757"/>
      <c s="8" r="W757"/>
      <c s="8" r="X757"/>
      <c s="8" r="Y757"/>
      <c s="8" r="Z757"/>
      <c s="8" r="AA757"/>
    </row>
    <row r="758">
      <c s="8" r="A758"/>
      <c s="8" r="B758"/>
      <c s="8" r="C758"/>
      <c s="8" r="D758"/>
      <c s="8" r="E758"/>
      <c s="8" r="F758"/>
      <c s="8" r="G758"/>
      <c s="8" r="H758"/>
      <c s="8" r="I758"/>
      <c s="8" r="J758"/>
      <c s="8" r="K758"/>
      <c s="8" r="L758"/>
      <c s="8" r="M758"/>
      <c s="8" r="N758"/>
      <c s="8" r="O758"/>
      <c s="8" r="P758"/>
      <c s="8" r="Q758"/>
      <c s="8" r="R758"/>
      <c s="8" r="S758"/>
      <c s="8" r="T758"/>
      <c s="8" r="U758"/>
      <c s="8" r="V758"/>
      <c s="8" r="W758"/>
      <c s="8" r="X758"/>
      <c s="8" r="Y758"/>
      <c s="8" r="Z758"/>
      <c s="8" r="AA758"/>
    </row>
    <row r="759">
      <c s="8" r="A759"/>
      <c s="8" r="B759"/>
      <c s="8" r="C759"/>
      <c s="8" r="D759"/>
      <c s="8" r="E759"/>
      <c s="8" r="F759"/>
      <c s="8" r="G759"/>
      <c s="8" r="H759"/>
      <c s="8" r="I759"/>
      <c s="8" r="J759"/>
      <c s="8" r="K759"/>
      <c s="8" r="L759"/>
      <c s="8" r="M759"/>
      <c s="8" r="N759"/>
      <c s="8" r="O759"/>
      <c s="8" r="P759"/>
      <c s="8" r="Q759"/>
      <c s="8" r="R759"/>
      <c s="8" r="S759"/>
      <c s="8" r="T759"/>
      <c s="8" r="U759"/>
      <c s="8" r="V759"/>
      <c s="8" r="W759"/>
      <c s="8" r="X759"/>
      <c s="8" r="Y759"/>
      <c s="8" r="Z759"/>
      <c s="8" r="AA759"/>
    </row>
    <row r="760">
      <c s="8" r="A760"/>
      <c s="8" r="B760"/>
      <c s="8" r="C760"/>
      <c s="8" r="D760"/>
      <c s="8" r="E760"/>
      <c s="8" r="F760"/>
      <c s="8" r="G760"/>
      <c s="8" r="H760"/>
      <c s="8" r="I760"/>
      <c s="8" r="J760"/>
      <c s="8" r="K760"/>
      <c s="8" r="L760"/>
      <c s="8" r="M760"/>
      <c s="8" r="N760"/>
      <c s="8" r="O760"/>
      <c s="8" r="P760"/>
      <c s="8" r="Q760"/>
      <c s="8" r="R760"/>
      <c s="8" r="S760"/>
      <c s="8" r="T760"/>
      <c s="8" r="U760"/>
      <c s="8" r="V760"/>
      <c s="8" r="W760"/>
      <c s="8" r="X760"/>
      <c s="8" r="Y760"/>
      <c s="8" r="Z760"/>
      <c s="8" r="AA760"/>
    </row>
    <row r="761">
      <c s="8" r="A761"/>
      <c s="8" r="B761"/>
      <c s="8" r="C761"/>
      <c s="8" r="D761"/>
      <c s="8" r="E761"/>
      <c s="8" r="F761"/>
      <c s="8" r="G761"/>
      <c s="8" r="H761"/>
      <c s="8" r="I761"/>
      <c s="8" r="J761"/>
      <c s="8" r="K761"/>
      <c s="8" r="L761"/>
      <c s="8" r="M761"/>
      <c s="8" r="N761"/>
      <c s="8" r="O761"/>
      <c s="8" r="P761"/>
      <c s="8" r="Q761"/>
      <c s="8" r="R761"/>
      <c s="8" r="S761"/>
      <c s="8" r="T761"/>
      <c s="8" r="U761"/>
      <c s="8" r="V761"/>
      <c s="8" r="W761"/>
      <c s="8" r="X761"/>
      <c s="8" r="Y761"/>
      <c s="8" r="Z761"/>
      <c s="8" r="AA761"/>
    </row>
    <row r="762">
      <c s="8" r="A762"/>
      <c s="8" r="B762"/>
      <c s="8" r="C762"/>
      <c s="8" r="D762"/>
      <c s="8" r="E762"/>
      <c s="8" r="F762"/>
      <c s="8" r="G762"/>
      <c s="8" r="H762"/>
      <c s="8" r="I762"/>
      <c s="8" r="J762"/>
      <c s="8" r="K762"/>
      <c s="8" r="L762"/>
      <c s="8" r="M762"/>
      <c s="8" r="N762"/>
      <c s="8" r="O762"/>
      <c s="8" r="P762"/>
      <c s="8" r="Q762"/>
      <c s="8" r="R762"/>
      <c s="8" r="S762"/>
      <c s="8" r="T762"/>
      <c s="8" r="U762"/>
      <c s="8" r="V762"/>
      <c s="8" r="W762"/>
      <c s="8" r="X762"/>
      <c s="8" r="Y762"/>
      <c s="8" r="Z762"/>
      <c s="8" r="AA762"/>
    </row>
    <row r="763">
      <c s="8" r="A763"/>
      <c s="8" r="B763"/>
      <c s="8" r="C763"/>
      <c s="8" r="D763"/>
      <c s="8" r="E763"/>
      <c s="8" r="F763"/>
      <c s="8" r="G763"/>
      <c s="8" r="H763"/>
      <c s="8" r="I763"/>
      <c s="8" r="J763"/>
      <c s="8" r="K763"/>
      <c s="8" r="L763"/>
      <c s="8" r="M763"/>
      <c s="8" r="N763"/>
      <c s="8" r="O763"/>
      <c s="8" r="P763"/>
      <c s="8" r="Q763"/>
      <c s="8" r="R763"/>
      <c s="8" r="S763"/>
      <c s="8" r="T763"/>
      <c s="8" r="U763"/>
      <c s="8" r="V763"/>
      <c s="8" r="W763"/>
      <c s="8" r="X763"/>
      <c s="8" r="Y763"/>
      <c s="8" r="Z763"/>
      <c s="8" r="AA763"/>
    </row>
    <row r="764">
      <c s="8" r="A764"/>
      <c s="8" r="B764"/>
      <c s="8" r="C764"/>
      <c s="8" r="D764"/>
      <c s="8" r="E764"/>
      <c s="8" r="F764"/>
      <c s="8" r="G764"/>
      <c s="8" r="H764"/>
      <c s="8" r="I764"/>
      <c s="8" r="J764"/>
      <c s="8" r="K764"/>
      <c s="8" r="L764"/>
      <c s="8" r="M764"/>
      <c s="8" r="N764"/>
      <c s="8" r="O764"/>
      <c s="8" r="P764"/>
      <c s="8" r="Q764"/>
      <c s="8" r="R764"/>
      <c s="8" r="S764"/>
      <c s="8" r="T764"/>
      <c s="8" r="U764"/>
      <c s="8" r="V764"/>
      <c s="8" r="W764"/>
      <c s="8" r="X764"/>
      <c s="8" r="Y764"/>
      <c s="8" r="Z764"/>
      <c s="8" r="AA764"/>
    </row>
    <row r="765">
      <c s="8" r="A765"/>
      <c s="8" r="B765"/>
      <c s="8" r="C765"/>
      <c s="8" r="D765"/>
      <c s="8" r="E765"/>
      <c s="8" r="F765"/>
      <c s="8" r="G765"/>
      <c s="8" r="H765"/>
      <c s="8" r="I765"/>
      <c s="8" r="J765"/>
      <c s="8" r="K765"/>
      <c s="8" r="L765"/>
      <c s="8" r="M765"/>
      <c s="8" r="N765"/>
      <c s="8" r="O765"/>
      <c s="8" r="P765"/>
      <c s="8" r="Q765"/>
      <c s="8" r="R765"/>
      <c s="8" r="S765"/>
      <c s="8" r="T765"/>
      <c s="8" r="U765"/>
      <c s="8" r="V765"/>
      <c s="8" r="W765"/>
      <c s="8" r="X765"/>
      <c s="8" r="Y765"/>
      <c s="8" r="Z765"/>
      <c s="8" r="AA765"/>
    </row>
    <row r="766">
      <c s="8" r="A766"/>
      <c s="8" r="B766"/>
      <c s="8" r="C766"/>
      <c s="8" r="D766"/>
      <c s="8" r="E766"/>
      <c s="8" r="F766"/>
      <c s="8" r="G766"/>
      <c s="8" r="H766"/>
      <c s="8" r="I766"/>
      <c s="8" r="J766"/>
      <c s="8" r="K766"/>
      <c s="8" r="L766"/>
      <c s="8" r="M766"/>
      <c s="8" r="N766"/>
      <c s="8" r="O766"/>
      <c s="8" r="P766"/>
      <c s="8" r="Q766"/>
      <c s="8" r="R766"/>
      <c s="8" r="S766"/>
      <c s="8" r="T766"/>
      <c s="8" r="U766"/>
      <c s="8" r="V766"/>
      <c s="8" r="W766"/>
      <c s="8" r="X766"/>
      <c s="8" r="Y766"/>
      <c s="8" r="Z766"/>
      <c s="8" r="AA766"/>
    </row>
    <row r="767">
      <c s="8" r="A767"/>
      <c s="8" r="B767"/>
      <c s="8" r="C767"/>
      <c s="8" r="D767"/>
      <c s="8" r="E767"/>
      <c s="8" r="F767"/>
      <c s="8" r="G767"/>
      <c s="8" r="H767"/>
      <c s="8" r="I767"/>
      <c s="8" r="J767"/>
      <c s="8" r="K767"/>
      <c s="8" r="L767"/>
      <c s="8" r="M767"/>
      <c s="8" r="N767"/>
      <c s="8" r="O767"/>
      <c s="8" r="P767"/>
      <c s="8" r="Q767"/>
      <c s="8" r="R767"/>
      <c s="8" r="S767"/>
      <c s="8" r="T767"/>
      <c s="8" r="U767"/>
      <c s="8" r="V767"/>
      <c s="8" r="W767"/>
      <c s="8" r="X767"/>
      <c s="8" r="Y767"/>
      <c s="8" r="Z767"/>
      <c s="8" r="AA767"/>
    </row>
    <row r="768">
      <c s="8" r="A768"/>
      <c s="8" r="B768"/>
      <c s="8" r="C768"/>
      <c s="8" r="D768"/>
      <c s="8" r="E768"/>
      <c s="8" r="F768"/>
      <c s="8" r="G768"/>
      <c s="8" r="H768"/>
      <c s="8" r="I768"/>
      <c s="8" r="J768"/>
      <c s="8" r="K768"/>
      <c s="8" r="L768"/>
      <c s="8" r="M768"/>
      <c s="8" r="N768"/>
      <c s="8" r="O768"/>
      <c s="8" r="P768"/>
      <c s="8" r="Q768"/>
      <c s="8" r="R768"/>
      <c s="8" r="S768"/>
      <c s="8" r="T768"/>
      <c s="8" r="U768"/>
      <c s="8" r="V768"/>
      <c s="8" r="W768"/>
      <c s="8" r="X768"/>
      <c s="8" r="Y768"/>
      <c s="8" r="Z768"/>
      <c s="8" r="AA768"/>
    </row>
    <row r="769">
      <c s="8" r="A769"/>
      <c s="8" r="B769"/>
      <c s="8" r="C769"/>
      <c s="8" r="D769"/>
      <c s="8" r="E769"/>
      <c s="8" r="F769"/>
      <c s="8" r="G769"/>
      <c s="8" r="H769"/>
      <c s="8" r="I769"/>
      <c s="8" r="J769"/>
      <c s="8" r="K769"/>
      <c s="8" r="L769"/>
      <c s="8" r="M769"/>
      <c s="8" r="N769"/>
      <c s="8" r="O769"/>
      <c s="8" r="P769"/>
      <c s="8" r="Q769"/>
      <c s="8" r="R769"/>
      <c s="8" r="S769"/>
      <c s="8" r="T769"/>
      <c s="8" r="U769"/>
      <c s="8" r="V769"/>
      <c s="8" r="W769"/>
      <c s="8" r="X769"/>
      <c s="8" r="Y769"/>
      <c s="8" r="Z769"/>
      <c s="8" r="AA769"/>
    </row>
    <row r="770">
      <c s="8" r="A770"/>
      <c s="8" r="B770"/>
      <c s="8" r="C770"/>
      <c s="8" r="D770"/>
      <c s="8" r="E770"/>
      <c s="8" r="F770"/>
      <c s="8" r="G770"/>
      <c s="8" r="H770"/>
      <c s="8" r="I770"/>
      <c s="8" r="J770"/>
      <c s="8" r="K770"/>
      <c s="8" r="L770"/>
      <c s="8" r="M770"/>
      <c s="8" r="N770"/>
      <c s="8" r="O770"/>
      <c s="8" r="P770"/>
      <c s="8" r="Q770"/>
      <c s="8" r="R770"/>
      <c s="8" r="S770"/>
      <c s="8" r="T770"/>
      <c s="8" r="U770"/>
      <c s="8" r="V770"/>
      <c s="8" r="W770"/>
      <c s="8" r="X770"/>
      <c s="8" r="Y770"/>
      <c s="8" r="Z770"/>
      <c s="8" r="AA770"/>
    </row>
    <row r="771">
      <c s="8" r="A771"/>
      <c s="8" r="B771"/>
      <c s="8" r="C771"/>
      <c s="8" r="D771"/>
      <c s="8" r="E771"/>
      <c s="8" r="F771"/>
      <c s="8" r="G771"/>
      <c s="8" r="H771"/>
      <c s="8" r="I771"/>
      <c s="8" r="J771"/>
      <c s="8" r="K771"/>
      <c s="8" r="L771"/>
      <c s="8" r="M771"/>
      <c s="8" r="N771"/>
      <c s="8" r="O771"/>
      <c s="8" r="P771"/>
      <c s="8" r="Q771"/>
      <c s="8" r="R771"/>
      <c s="8" r="S771"/>
      <c s="8" r="T771"/>
      <c s="8" r="U771"/>
      <c s="8" r="V771"/>
      <c s="8" r="W771"/>
      <c s="8" r="X771"/>
      <c s="8" r="Y771"/>
      <c s="8" r="Z771"/>
      <c s="8" r="AA771"/>
    </row>
    <row r="772">
      <c s="8" r="A772"/>
      <c s="8" r="B772"/>
      <c s="8" r="C772"/>
      <c s="8" r="D772"/>
      <c s="8" r="E772"/>
      <c s="8" r="F772"/>
      <c s="8" r="G772"/>
      <c s="8" r="H772"/>
      <c s="8" r="I772"/>
      <c s="8" r="J772"/>
      <c s="8" r="K772"/>
      <c s="8" r="L772"/>
      <c s="8" r="M772"/>
      <c s="8" r="N772"/>
      <c s="8" r="O772"/>
      <c s="8" r="P772"/>
      <c s="8" r="Q772"/>
      <c s="8" r="R772"/>
      <c s="8" r="S772"/>
      <c s="8" r="T772"/>
      <c s="8" r="U772"/>
      <c s="8" r="V772"/>
      <c s="8" r="W772"/>
      <c s="8" r="X772"/>
      <c s="8" r="Y772"/>
      <c s="8" r="Z772"/>
      <c s="8" r="AA772"/>
    </row>
    <row r="773">
      <c s="8" r="A773"/>
      <c s="8" r="B773"/>
      <c s="8" r="C773"/>
      <c s="8" r="D773"/>
      <c s="8" r="E773"/>
      <c s="8" r="F773"/>
      <c s="8" r="G773"/>
      <c s="8" r="H773"/>
      <c s="8" r="I773"/>
      <c s="8" r="J773"/>
      <c s="8" r="K773"/>
      <c s="8" r="L773"/>
      <c s="8" r="M773"/>
      <c s="8" r="N773"/>
      <c s="8" r="O773"/>
      <c s="8" r="P773"/>
      <c s="8" r="Q773"/>
      <c s="8" r="R773"/>
      <c s="8" r="S773"/>
      <c s="8" r="T773"/>
      <c s="8" r="U773"/>
      <c s="8" r="V773"/>
      <c s="8" r="W773"/>
      <c s="8" r="X773"/>
      <c s="8" r="Y773"/>
      <c s="8" r="Z773"/>
      <c s="8" r="AA773"/>
    </row>
    <row r="774">
      <c s="8" r="A774"/>
      <c s="8" r="B774"/>
      <c s="8" r="C774"/>
      <c s="8" r="D774"/>
      <c s="8" r="E774"/>
      <c s="8" r="F774"/>
      <c s="8" r="G774"/>
      <c s="8" r="H774"/>
      <c s="8" r="I774"/>
      <c s="8" r="J774"/>
      <c s="8" r="K774"/>
      <c s="8" r="L774"/>
      <c s="8" r="M774"/>
      <c s="8" r="N774"/>
      <c s="8" r="O774"/>
      <c s="8" r="P774"/>
      <c s="8" r="Q774"/>
      <c s="8" r="R774"/>
      <c s="8" r="S774"/>
      <c s="8" r="T774"/>
      <c s="8" r="U774"/>
      <c s="8" r="V774"/>
      <c s="8" r="W774"/>
      <c s="8" r="X774"/>
      <c s="8" r="Y774"/>
      <c s="8" r="Z774"/>
      <c s="8" r="AA774"/>
    </row>
    <row r="775">
      <c s="8" r="A775"/>
      <c s="8" r="B775"/>
      <c s="8" r="C775"/>
      <c s="8" r="D775"/>
      <c s="8" r="E775"/>
      <c s="8" r="F775"/>
      <c s="8" r="G775"/>
      <c s="8" r="H775"/>
      <c s="8" r="I775"/>
      <c s="8" r="J775"/>
      <c s="8" r="K775"/>
      <c s="8" r="L775"/>
      <c s="8" r="M775"/>
      <c s="8" r="N775"/>
      <c s="8" r="O775"/>
      <c s="8" r="P775"/>
      <c s="8" r="Q775"/>
      <c s="8" r="R775"/>
      <c s="8" r="S775"/>
      <c s="8" r="T775"/>
      <c s="8" r="U775"/>
      <c s="8" r="V775"/>
      <c s="8" r="W775"/>
      <c s="8" r="X775"/>
      <c s="8" r="Y775"/>
      <c s="8" r="Z775"/>
      <c s="8" r="AA775"/>
    </row>
    <row r="776">
      <c s="8" r="A776"/>
      <c s="8" r="B776"/>
      <c s="8" r="C776"/>
      <c s="8" r="D776"/>
      <c s="8" r="E776"/>
      <c s="8" r="F776"/>
      <c s="8" r="G776"/>
      <c s="8" r="H776"/>
      <c s="8" r="I776"/>
      <c s="8" r="J776"/>
      <c s="8" r="K776"/>
      <c s="8" r="L776"/>
      <c s="8" r="M776"/>
      <c s="8" r="N776"/>
      <c s="8" r="O776"/>
      <c s="8" r="P776"/>
      <c s="8" r="Q776"/>
      <c s="8" r="R776"/>
      <c s="8" r="S776"/>
      <c s="8" r="T776"/>
      <c s="8" r="U776"/>
      <c s="8" r="V776"/>
      <c s="8" r="W776"/>
      <c s="8" r="X776"/>
      <c s="8" r="Y776"/>
      <c s="8" r="Z776"/>
      <c s="8" r="AA776"/>
    </row>
    <row r="777">
      <c s="8" r="A777"/>
      <c s="8" r="B777"/>
      <c s="8" r="C777"/>
      <c s="8" r="D777"/>
      <c s="8" r="E777"/>
      <c s="8" r="F777"/>
      <c s="8" r="G777"/>
      <c s="8" r="H777"/>
      <c s="8" r="I777"/>
      <c s="8" r="J777"/>
      <c s="8" r="K777"/>
      <c s="8" r="L777"/>
      <c s="8" r="M777"/>
      <c s="8" r="N777"/>
      <c s="8" r="O777"/>
      <c s="8" r="P777"/>
      <c s="8" r="Q777"/>
      <c s="8" r="R777"/>
      <c s="8" r="S777"/>
      <c s="8" r="T777"/>
      <c s="8" r="U777"/>
      <c s="8" r="V777"/>
      <c s="8" r="W777"/>
      <c s="8" r="X777"/>
      <c s="8" r="Y777"/>
      <c s="8" r="Z777"/>
      <c s="8" r="AA777"/>
    </row>
    <row r="778">
      <c s="8" r="A778"/>
      <c s="8" r="B778"/>
      <c s="8" r="C778"/>
      <c s="8" r="D778"/>
      <c s="8" r="E778"/>
      <c s="8" r="F778"/>
      <c s="8" r="G778"/>
      <c s="8" r="H778"/>
      <c s="8" r="I778"/>
      <c s="8" r="J778"/>
      <c s="8" r="K778"/>
      <c s="8" r="L778"/>
      <c s="8" r="M778"/>
      <c s="8" r="N778"/>
      <c s="8" r="O778"/>
      <c s="8" r="P778"/>
      <c s="8" r="Q778"/>
      <c s="8" r="R778"/>
      <c s="8" r="S778"/>
      <c s="8" r="T778"/>
      <c s="8" r="U778"/>
      <c s="8" r="V778"/>
      <c s="8" r="W778"/>
      <c s="8" r="X778"/>
      <c s="8" r="Y778"/>
      <c s="8" r="Z778"/>
      <c s="8" r="AA778"/>
    </row>
    <row r="779">
      <c s="8" r="A779"/>
      <c s="8" r="B779"/>
      <c s="8" r="C779"/>
      <c s="8" r="D779"/>
      <c s="8" r="E779"/>
      <c s="8" r="F779"/>
      <c s="8" r="G779"/>
      <c s="8" r="H779"/>
      <c s="8" r="I779"/>
      <c s="8" r="J779"/>
      <c s="8" r="K779"/>
      <c s="8" r="L779"/>
      <c s="8" r="M779"/>
      <c s="8" r="N779"/>
      <c s="8" r="O779"/>
      <c s="8" r="P779"/>
      <c s="8" r="Q779"/>
      <c s="8" r="R779"/>
      <c s="8" r="S779"/>
      <c s="8" r="T779"/>
      <c s="8" r="U779"/>
      <c s="8" r="V779"/>
      <c s="8" r="W779"/>
      <c s="8" r="X779"/>
      <c s="8" r="Y779"/>
      <c s="8" r="Z779"/>
      <c s="8" r="AA779"/>
    </row>
    <row r="780">
      <c s="8" r="A780"/>
      <c s="8" r="B780"/>
      <c s="8" r="C780"/>
      <c s="8" r="D780"/>
      <c s="8" r="E780"/>
      <c s="8" r="F780"/>
      <c s="8" r="G780"/>
      <c s="8" r="H780"/>
      <c s="8" r="I780"/>
      <c s="8" r="J780"/>
      <c s="8" r="K780"/>
      <c s="8" r="L780"/>
      <c s="8" r="M780"/>
      <c s="8" r="N780"/>
      <c s="8" r="O780"/>
      <c s="8" r="P780"/>
      <c s="8" r="Q780"/>
      <c s="8" r="R780"/>
      <c s="8" r="S780"/>
      <c s="8" r="T780"/>
      <c s="8" r="U780"/>
      <c s="8" r="V780"/>
      <c s="8" r="W780"/>
      <c s="8" r="X780"/>
      <c s="8" r="Y780"/>
      <c s="8" r="Z780"/>
      <c s="8" r="AA780"/>
    </row>
    <row r="781">
      <c s="8" r="A781"/>
      <c s="8" r="B781"/>
      <c s="8" r="C781"/>
      <c s="8" r="D781"/>
      <c s="8" r="E781"/>
      <c s="8" r="F781"/>
      <c s="8" r="G781"/>
      <c s="8" r="H781"/>
      <c s="8" r="I781"/>
      <c s="8" r="J781"/>
      <c s="8" r="K781"/>
      <c s="8" r="L781"/>
      <c s="8" r="M781"/>
      <c s="8" r="N781"/>
      <c s="8" r="O781"/>
      <c s="8" r="P781"/>
      <c s="8" r="Q781"/>
      <c s="8" r="R781"/>
      <c s="8" r="S781"/>
      <c s="8" r="T781"/>
      <c s="8" r="U781"/>
      <c s="8" r="V781"/>
      <c s="8" r="W781"/>
      <c s="8" r="X781"/>
      <c s="8" r="Y781"/>
      <c s="8" r="Z781"/>
      <c s="8" r="AA781"/>
    </row>
    <row r="782">
      <c s="8" r="A782"/>
      <c s="8" r="B782"/>
      <c s="8" r="C782"/>
      <c s="8" r="D782"/>
      <c s="8" r="E782"/>
      <c s="8" r="F782"/>
      <c s="8" r="G782"/>
      <c s="8" r="H782"/>
      <c s="8" r="I782"/>
      <c s="8" r="J782"/>
      <c s="8" r="K782"/>
      <c s="8" r="L782"/>
      <c s="8" r="M782"/>
      <c s="8" r="N782"/>
      <c s="8" r="O782"/>
      <c s="8" r="P782"/>
      <c s="8" r="Q782"/>
      <c s="8" r="R782"/>
      <c s="8" r="S782"/>
      <c s="8" r="T782"/>
      <c s="8" r="U782"/>
      <c s="8" r="V782"/>
      <c s="8" r="W782"/>
      <c s="8" r="X782"/>
      <c s="8" r="Y782"/>
      <c s="8" r="Z782"/>
      <c s="8" r="AA782"/>
    </row>
    <row r="783">
      <c s="8" r="A783"/>
      <c s="8" r="B783"/>
      <c s="8" r="C783"/>
      <c s="8" r="D783"/>
      <c s="8" r="E783"/>
      <c s="8" r="F783"/>
      <c s="8" r="G783"/>
      <c s="8" r="H783"/>
      <c s="8" r="I783"/>
      <c s="8" r="J783"/>
      <c s="8" r="K783"/>
      <c s="8" r="L783"/>
      <c s="8" r="M783"/>
      <c s="8" r="N783"/>
      <c s="8" r="O783"/>
      <c s="8" r="P783"/>
      <c s="8" r="Q783"/>
      <c s="8" r="R783"/>
      <c s="8" r="S783"/>
      <c s="8" r="T783"/>
      <c s="8" r="U783"/>
      <c s="8" r="V783"/>
      <c s="8" r="W783"/>
      <c s="8" r="X783"/>
      <c s="8" r="Y783"/>
      <c s="8" r="Z783"/>
      <c s="8" r="AA783"/>
    </row>
    <row r="784">
      <c s="8" r="A784"/>
      <c s="8" r="B784"/>
      <c s="8" r="C784"/>
      <c s="8" r="D784"/>
      <c s="8" r="E784"/>
      <c s="8" r="F784"/>
      <c s="8" r="G784"/>
      <c s="8" r="H784"/>
      <c s="8" r="I784"/>
      <c s="8" r="J784"/>
      <c s="8" r="K784"/>
      <c s="8" r="L784"/>
      <c s="8" r="M784"/>
      <c s="8" r="N784"/>
      <c s="8" r="O784"/>
      <c s="8" r="P784"/>
      <c s="8" r="Q784"/>
      <c s="8" r="R784"/>
      <c s="8" r="S784"/>
      <c s="8" r="T784"/>
      <c s="8" r="U784"/>
      <c s="8" r="V784"/>
      <c s="8" r="W784"/>
      <c s="8" r="X784"/>
      <c s="8" r="Y784"/>
      <c s="8" r="Z784"/>
      <c s="8" r="AA784"/>
    </row>
    <row r="785">
      <c s="8" r="A785"/>
      <c s="8" r="B785"/>
      <c s="8" r="C785"/>
      <c s="8" r="D785"/>
      <c s="8" r="E785"/>
      <c s="8" r="F785"/>
      <c s="8" r="G785"/>
      <c s="8" r="H785"/>
      <c s="8" r="I785"/>
      <c s="8" r="J785"/>
      <c s="8" r="K785"/>
      <c s="8" r="L785"/>
      <c s="8" r="M785"/>
      <c s="8" r="N785"/>
      <c s="8" r="O785"/>
      <c s="8" r="P785"/>
      <c s="8" r="Q785"/>
      <c s="8" r="R785"/>
      <c s="8" r="S785"/>
      <c s="8" r="T785"/>
      <c s="8" r="U785"/>
      <c s="8" r="V785"/>
      <c s="8" r="W785"/>
      <c s="8" r="X785"/>
      <c s="8" r="Y785"/>
      <c s="8" r="Z785"/>
      <c s="8" r="AA785"/>
    </row>
    <row r="786">
      <c s="8" r="A786"/>
      <c s="8" r="B786"/>
      <c s="8" r="C786"/>
      <c s="8" r="D786"/>
      <c s="8" r="E786"/>
      <c s="8" r="F786"/>
      <c s="8" r="G786"/>
      <c s="8" r="H786"/>
      <c s="8" r="I786"/>
      <c s="8" r="J786"/>
      <c s="8" r="K786"/>
      <c s="8" r="L786"/>
      <c s="8" r="M786"/>
      <c s="8" r="N786"/>
      <c s="8" r="O786"/>
      <c s="8" r="P786"/>
      <c s="8" r="Q786"/>
      <c s="8" r="R786"/>
      <c s="8" r="S786"/>
      <c s="8" r="T786"/>
      <c s="8" r="U786"/>
      <c s="8" r="V786"/>
      <c s="8" r="W786"/>
      <c s="8" r="X786"/>
      <c s="8" r="Y786"/>
      <c s="8" r="Z786"/>
      <c s="8" r="AA786"/>
    </row>
    <row r="787">
      <c s="8" r="A787"/>
      <c s="8" r="B787"/>
      <c s="8" r="C787"/>
      <c s="8" r="D787"/>
      <c s="8" r="E787"/>
      <c s="8" r="F787"/>
      <c s="8" r="G787"/>
      <c s="8" r="H787"/>
      <c s="8" r="I787"/>
      <c s="8" r="J787"/>
      <c s="8" r="K787"/>
      <c s="8" r="L787"/>
      <c s="8" r="M787"/>
      <c s="8" r="N787"/>
      <c s="8" r="O787"/>
      <c s="8" r="P787"/>
      <c s="8" r="Q787"/>
      <c s="8" r="R787"/>
      <c s="8" r="S787"/>
      <c s="8" r="T787"/>
      <c s="8" r="U787"/>
      <c s="8" r="V787"/>
      <c s="8" r="W787"/>
      <c s="8" r="X787"/>
      <c s="8" r="Y787"/>
      <c s="8" r="Z787"/>
      <c s="8" r="AA787"/>
    </row>
    <row r="788">
      <c s="8" r="A788"/>
      <c s="8" r="B788"/>
      <c s="8" r="C788"/>
      <c s="8" r="D788"/>
      <c s="8" r="E788"/>
      <c s="8" r="F788"/>
      <c s="8" r="G788"/>
      <c s="8" r="H788"/>
      <c s="8" r="I788"/>
      <c s="8" r="J788"/>
      <c s="8" r="K788"/>
      <c s="8" r="L788"/>
      <c s="8" r="M788"/>
      <c s="8" r="N788"/>
      <c s="8" r="O788"/>
      <c s="8" r="P788"/>
      <c s="8" r="Q788"/>
      <c s="8" r="R788"/>
      <c s="8" r="S788"/>
      <c s="8" r="T788"/>
      <c s="8" r="U788"/>
      <c s="8" r="V788"/>
      <c s="8" r="W788"/>
      <c s="8" r="X788"/>
      <c s="8" r="Y788"/>
      <c s="8" r="Z788"/>
      <c s="8" r="AA788"/>
    </row>
    <row r="789">
      <c s="8" r="A789"/>
      <c s="8" r="B789"/>
      <c s="8" r="C789"/>
      <c s="8" r="D789"/>
      <c s="8" r="E789"/>
      <c s="8" r="F789"/>
      <c s="8" r="G789"/>
      <c s="8" r="H789"/>
      <c s="8" r="I789"/>
      <c s="8" r="J789"/>
      <c s="8" r="K789"/>
      <c s="8" r="L789"/>
      <c s="8" r="M789"/>
      <c s="8" r="N789"/>
      <c s="8" r="O789"/>
      <c s="8" r="P789"/>
      <c s="8" r="Q789"/>
      <c s="8" r="R789"/>
      <c s="8" r="S789"/>
      <c s="8" r="T789"/>
      <c s="8" r="U789"/>
      <c s="8" r="V789"/>
      <c s="8" r="W789"/>
      <c s="8" r="X789"/>
      <c s="8" r="Y789"/>
      <c s="8" r="Z789"/>
      <c s="8" r="AA789"/>
    </row>
    <row r="790">
      <c s="8" r="A790"/>
      <c s="8" r="B790"/>
      <c s="8" r="C790"/>
      <c s="8" r="D790"/>
      <c s="8" r="E790"/>
      <c s="8" r="F790"/>
      <c s="8" r="G790"/>
      <c s="8" r="H790"/>
      <c s="8" r="I790"/>
      <c s="8" r="J790"/>
      <c s="8" r="K790"/>
      <c s="8" r="L790"/>
      <c s="8" r="M790"/>
      <c s="8" r="N790"/>
      <c s="8" r="O790"/>
      <c s="8" r="P790"/>
      <c s="8" r="Q790"/>
      <c s="8" r="R790"/>
      <c s="8" r="S790"/>
      <c s="8" r="T790"/>
      <c s="8" r="U790"/>
      <c s="8" r="V790"/>
      <c s="8" r="W790"/>
      <c s="8" r="X790"/>
      <c s="8" r="Y790"/>
      <c s="8" r="Z790"/>
      <c s="8" r="AA790"/>
    </row>
    <row r="791">
      <c s="8" r="A791"/>
      <c s="8" r="B791"/>
      <c s="8" r="C791"/>
      <c s="8" r="D791"/>
      <c s="8" r="E791"/>
      <c s="8" r="F791"/>
      <c s="8" r="G791"/>
      <c s="8" r="H791"/>
      <c s="8" r="I791"/>
      <c s="8" r="J791"/>
      <c s="8" r="K791"/>
      <c s="8" r="L791"/>
      <c s="8" r="M791"/>
      <c s="8" r="N791"/>
      <c s="8" r="O791"/>
      <c s="8" r="P791"/>
      <c s="8" r="Q791"/>
      <c s="8" r="R791"/>
      <c s="8" r="S791"/>
      <c s="8" r="T791"/>
      <c s="8" r="U791"/>
      <c s="8" r="V791"/>
      <c s="8" r="W791"/>
      <c s="8" r="X791"/>
      <c s="8" r="Y791"/>
      <c s="8" r="Z791"/>
      <c s="8" r="AA791"/>
    </row>
    <row r="792">
      <c s="8" r="A792"/>
      <c s="8" r="B792"/>
      <c s="8" r="C792"/>
      <c s="8" r="D792"/>
      <c s="8" r="E792"/>
      <c s="8" r="F792"/>
      <c s="8" r="G792"/>
      <c s="8" r="H792"/>
      <c s="8" r="I792"/>
      <c s="8" r="J792"/>
      <c s="8" r="K792"/>
      <c s="8" r="L792"/>
      <c s="8" r="M792"/>
      <c s="8" r="N792"/>
      <c s="8" r="O792"/>
      <c s="8" r="P792"/>
      <c s="8" r="Q792"/>
      <c s="8" r="R792"/>
      <c s="8" r="S792"/>
      <c s="8" r="T792"/>
      <c s="8" r="U792"/>
      <c s="8" r="V792"/>
      <c s="8" r="W792"/>
      <c s="8" r="X792"/>
      <c s="8" r="Y792"/>
      <c s="8" r="Z792"/>
      <c s="8" r="AA792"/>
    </row>
    <row r="793">
      <c s="8" r="A793"/>
      <c s="8" r="B793"/>
      <c s="8" r="C793"/>
      <c s="8" r="D793"/>
      <c s="8" r="E793"/>
      <c s="8" r="F793"/>
      <c s="8" r="G793"/>
      <c s="8" r="H793"/>
      <c s="8" r="I793"/>
      <c s="8" r="J793"/>
      <c s="8" r="K793"/>
      <c s="8" r="L793"/>
      <c s="8" r="M793"/>
      <c s="8" r="N793"/>
      <c s="8" r="O793"/>
      <c s="8" r="P793"/>
      <c s="8" r="Q793"/>
      <c s="8" r="R793"/>
      <c s="8" r="S793"/>
      <c s="8" r="T793"/>
      <c s="8" r="U793"/>
      <c s="8" r="V793"/>
      <c s="8" r="W793"/>
      <c s="8" r="X793"/>
      <c s="8" r="Y793"/>
      <c s="8" r="Z793"/>
      <c s="8" r="AA793"/>
    </row>
    <row r="794">
      <c s="8" r="A794"/>
      <c s="8" r="B794"/>
      <c s="8" r="C794"/>
      <c s="8" r="D794"/>
      <c s="8" r="E794"/>
      <c s="8" r="F794"/>
      <c s="8" r="G794"/>
      <c s="8" r="H794"/>
      <c s="8" r="I794"/>
      <c s="8" r="J794"/>
      <c s="8" r="K794"/>
      <c s="8" r="L794"/>
      <c s="8" r="M794"/>
      <c s="8" r="N794"/>
      <c s="8" r="O794"/>
      <c s="8" r="P794"/>
      <c s="8" r="Q794"/>
      <c s="8" r="R794"/>
      <c s="8" r="S794"/>
      <c s="8" r="T794"/>
      <c s="8" r="U794"/>
      <c s="8" r="V794"/>
      <c s="8" r="W794"/>
      <c s="8" r="X794"/>
      <c s="8" r="Y794"/>
      <c s="8" r="Z794"/>
      <c s="8" r="AA794"/>
    </row>
    <row r="795">
      <c s="8" r="A795"/>
      <c s="8" r="B795"/>
      <c s="8" r="C795"/>
      <c s="8" r="D795"/>
      <c s="8" r="E795"/>
      <c s="8" r="F795"/>
      <c s="8" r="G795"/>
      <c s="8" r="H795"/>
      <c s="8" r="I795"/>
      <c s="8" r="J795"/>
      <c s="8" r="K795"/>
      <c s="8" r="L795"/>
      <c s="8" r="M795"/>
      <c s="8" r="N795"/>
      <c s="8" r="O795"/>
      <c s="8" r="P795"/>
      <c s="8" r="Q795"/>
      <c s="8" r="R795"/>
      <c s="8" r="S795"/>
      <c s="8" r="T795"/>
      <c s="8" r="U795"/>
      <c s="8" r="V795"/>
      <c s="8" r="W795"/>
      <c s="8" r="X795"/>
      <c s="8" r="Y795"/>
      <c s="8" r="Z795"/>
      <c s="8" r="AA795"/>
    </row>
    <row r="796">
      <c s="8" r="A796"/>
      <c s="8" r="B796"/>
      <c s="8" r="C796"/>
      <c s="8" r="D796"/>
      <c s="8" r="E796"/>
      <c s="8" r="F796"/>
      <c s="8" r="G796"/>
      <c s="8" r="H796"/>
      <c s="8" r="I796"/>
      <c s="8" r="J796"/>
      <c s="8" r="K796"/>
      <c s="8" r="L796"/>
      <c s="8" r="M796"/>
      <c s="8" r="N796"/>
      <c s="8" r="O796"/>
      <c s="8" r="P796"/>
      <c s="8" r="Q796"/>
      <c s="8" r="R796"/>
      <c s="8" r="S796"/>
      <c s="8" r="T796"/>
      <c s="8" r="U796"/>
      <c s="8" r="V796"/>
      <c s="8" r="W796"/>
      <c s="8" r="X796"/>
      <c s="8" r="Y796"/>
      <c s="8" r="Z796"/>
      <c s="8" r="AA796"/>
    </row>
    <row r="797">
      <c s="8" r="A797"/>
      <c s="8" r="B797"/>
      <c s="8" r="C797"/>
      <c s="8" r="D797"/>
      <c s="8" r="E797"/>
      <c s="8" r="F797"/>
      <c s="8" r="G797"/>
      <c s="8" r="H797"/>
      <c s="8" r="I797"/>
      <c s="8" r="J797"/>
      <c s="8" r="K797"/>
      <c s="8" r="L797"/>
      <c s="8" r="M797"/>
      <c s="8" r="N797"/>
      <c s="8" r="O797"/>
      <c s="8" r="P797"/>
      <c s="8" r="Q797"/>
      <c s="8" r="R797"/>
      <c s="8" r="S797"/>
      <c s="8" r="T797"/>
      <c s="8" r="U797"/>
      <c s="8" r="V797"/>
      <c s="8" r="W797"/>
      <c s="8" r="X797"/>
      <c s="8" r="Y797"/>
      <c s="8" r="Z797"/>
      <c s="8" r="AA797"/>
    </row>
    <row r="798">
      <c s="8" r="A798"/>
      <c s="8" r="B798"/>
      <c s="8" r="C798"/>
      <c s="8" r="D798"/>
      <c s="8" r="E798"/>
      <c s="8" r="F798"/>
      <c s="8" r="G798"/>
      <c s="8" r="H798"/>
      <c s="8" r="I798"/>
      <c s="8" r="J798"/>
      <c s="8" r="K798"/>
      <c s="8" r="L798"/>
      <c s="8" r="M798"/>
      <c s="8" r="N798"/>
      <c s="8" r="O798"/>
      <c s="8" r="P798"/>
      <c s="8" r="Q798"/>
      <c s="8" r="R798"/>
      <c s="8" r="S798"/>
      <c s="8" r="T798"/>
      <c s="8" r="U798"/>
      <c s="8" r="V798"/>
      <c s="8" r="W798"/>
      <c s="8" r="X798"/>
      <c s="8" r="Y798"/>
      <c s="8" r="Z798"/>
      <c s="8" r="AA798"/>
    </row>
    <row r="799">
      <c s="8" r="A799"/>
      <c s="8" r="B799"/>
      <c s="8" r="C799"/>
      <c s="8" r="D799"/>
      <c s="8" r="E799"/>
      <c s="8" r="F799"/>
      <c s="8" r="G799"/>
      <c s="8" r="H799"/>
      <c s="8" r="I799"/>
      <c s="8" r="J799"/>
      <c s="8" r="K799"/>
      <c s="8" r="L799"/>
      <c s="8" r="M799"/>
      <c s="8" r="N799"/>
      <c s="8" r="O799"/>
      <c s="8" r="P799"/>
      <c s="8" r="Q799"/>
      <c s="8" r="R799"/>
      <c s="8" r="S799"/>
      <c s="8" r="T799"/>
      <c s="8" r="U799"/>
      <c s="8" r="V799"/>
      <c s="8" r="W799"/>
      <c s="8" r="X799"/>
      <c s="8" r="Y799"/>
      <c s="8" r="Z799"/>
      <c s="8" r="AA799"/>
    </row>
    <row r="800">
      <c s="8" r="A800"/>
      <c s="8" r="B800"/>
      <c s="8" r="C800"/>
      <c s="8" r="D800"/>
      <c s="8" r="E800"/>
      <c s="8" r="F800"/>
      <c s="8" r="G800"/>
      <c s="8" r="H800"/>
      <c s="8" r="I800"/>
      <c s="8" r="J800"/>
      <c s="8" r="K800"/>
      <c s="8" r="L800"/>
      <c s="8" r="M800"/>
      <c s="8" r="N800"/>
      <c s="8" r="O800"/>
      <c s="8" r="P800"/>
      <c s="8" r="Q800"/>
      <c s="8" r="R800"/>
      <c s="8" r="S800"/>
      <c s="8" r="T800"/>
      <c s="8" r="U800"/>
      <c s="8" r="V800"/>
      <c s="8" r="W800"/>
      <c s="8" r="X800"/>
      <c s="8" r="Y800"/>
      <c s="8" r="Z800"/>
      <c s="8" r="AA800"/>
    </row>
    <row r="801">
      <c s="8" r="A801"/>
      <c s="8" r="B801"/>
      <c s="8" r="C801"/>
      <c s="8" r="D801"/>
      <c s="8" r="E801"/>
      <c s="8" r="F801"/>
      <c s="8" r="G801"/>
      <c s="8" r="H801"/>
      <c s="8" r="I801"/>
      <c s="8" r="J801"/>
      <c s="8" r="K801"/>
      <c s="8" r="L801"/>
      <c s="8" r="M801"/>
      <c s="8" r="N801"/>
      <c s="8" r="O801"/>
      <c s="8" r="P801"/>
      <c s="8" r="Q801"/>
      <c s="8" r="R801"/>
      <c s="8" r="S801"/>
      <c s="8" r="T801"/>
      <c s="8" r="U801"/>
      <c s="8" r="V801"/>
      <c s="8" r="W801"/>
      <c s="8" r="X801"/>
      <c s="8" r="Y801"/>
      <c s="8" r="Z801"/>
      <c s="8" r="AA801"/>
    </row>
    <row r="802">
      <c s="8" r="A802"/>
      <c s="8" r="B802"/>
      <c s="8" r="C802"/>
      <c s="8" r="D802"/>
      <c s="8" r="E802"/>
      <c s="8" r="F802"/>
      <c s="8" r="G802"/>
      <c s="8" r="H802"/>
      <c s="8" r="I802"/>
      <c s="8" r="J802"/>
      <c s="8" r="K802"/>
      <c s="8" r="L802"/>
      <c s="8" r="M802"/>
      <c s="8" r="N802"/>
      <c s="8" r="O802"/>
      <c s="8" r="P802"/>
      <c s="8" r="Q802"/>
      <c s="8" r="R802"/>
      <c s="8" r="S802"/>
      <c s="8" r="T802"/>
      <c s="8" r="U802"/>
      <c s="8" r="V802"/>
      <c s="8" r="W802"/>
      <c s="8" r="X802"/>
      <c s="8" r="Y802"/>
      <c s="8" r="Z802"/>
      <c s="8" r="AA802"/>
    </row>
    <row r="803">
      <c s="8" r="A803"/>
      <c s="8" r="B803"/>
      <c s="8" r="C803"/>
      <c s="8" r="D803"/>
      <c s="8" r="E803"/>
      <c s="8" r="F803"/>
      <c s="8" r="G803"/>
      <c s="8" r="H803"/>
      <c s="8" r="I803"/>
      <c s="8" r="J803"/>
      <c s="8" r="K803"/>
      <c s="8" r="L803"/>
      <c s="8" r="M803"/>
      <c s="8" r="N803"/>
      <c s="8" r="O803"/>
      <c s="8" r="P803"/>
      <c s="8" r="Q803"/>
      <c s="8" r="R803"/>
      <c s="8" r="S803"/>
      <c s="8" r="T803"/>
      <c s="8" r="U803"/>
      <c s="8" r="V803"/>
      <c s="8" r="W803"/>
      <c s="8" r="X803"/>
      <c s="8" r="Y803"/>
      <c s="8" r="Z803"/>
      <c s="8" r="AA803"/>
    </row>
    <row r="804">
      <c s="8" r="A804"/>
      <c s="8" r="B804"/>
      <c s="8" r="C804"/>
      <c s="8" r="D804"/>
      <c s="8" r="E804"/>
      <c s="8" r="F804"/>
      <c s="8" r="G804"/>
      <c s="8" r="H804"/>
      <c s="8" r="I804"/>
      <c s="8" r="J804"/>
      <c s="8" r="K804"/>
      <c s="8" r="L804"/>
      <c s="8" r="M804"/>
      <c s="8" r="N804"/>
      <c s="8" r="O804"/>
      <c s="8" r="P804"/>
      <c s="8" r="Q804"/>
      <c s="8" r="R804"/>
      <c s="8" r="S804"/>
      <c s="8" r="T804"/>
      <c s="8" r="U804"/>
      <c s="8" r="V804"/>
      <c s="8" r="W804"/>
      <c s="8" r="X804"/>
      <c s="8" r="Y804"/>
      <c s="8" r="Z804"/>
      <c s="8" r="AA804"/>
    </row>
    <row r="805">
      <c s="8" r="A805"/>
      <c s="8" r="B805"/>
      <c s="8" r="C805"/>
      <c s="8" r="D805"/>
      <c s="8" r="E805"/>
      <c s="8" r="F805"/>
      <c s="8" r="G805"/>
      <c s="8" r="H805"/>
      <c s="8" r="I805"/>
      <c s="8" r="J805"/>
      <c s="8" r="K805"/>
      <c s="8" r="L805"/>
      <c s="8" r="M805"/>
      <c s="8" r="N805"/>
      <c s="8" r="O805"/>
      <c s="8" r="P805"/>
      <c s="8" r="Q805"/>
      <c s="8" r="R805"/>
      <c s="8" r="S805"/>
      <c s="8" r="T805"/>
      <c s="8" r="U805"/>
      <c s="8" r="V805"/>
      <c s="8" r="W805"/>
      <c s="8" r="X805"/>
      <c s="8" r="Y805"/>
      <c s="8" r="Z805"/>
      <c s="8" r="AA805"/>
    </row>
    <row r="806">
      <c s="8" r="A806"/>
      <c s="8" r="B806"/>
      <c s="8" r="C806"/>
      <c s="8" r="D806"/>
      <c s="8" r="E806"/>
      <c s="8" r="F806"/>
      <c s="8" r="G806"/>
      <c s="8" r="H806"/>
      <c s="8" r="I806"/>
      <c s="8" r="J806"/>
      <c s="8" r="K806"/>
      <c s="8" r="L806"/>
      <c s="8" r="M806"/>
      <c s="8" r="N806"/>
      <c s="8" r="O806"/>
      <c s="8" r="P806"/>
      <c s="8" r="Q806"/>
      <c s="8" r="R806"/>
      <c s="8" r="S806"/>
      <c s="8" r="T806"/>
      <c s="8" r="U806"/>
      <c s="8" r="V806"/>
      <c s="8" r="W806"/>
      <c s="8" r="X806"/>
      <c s="8" r="Y806"/>
      <c s="8" r="Z806"/>
      <c s="8" r="AA806"/>
    </row>
    <row r="807">
      <c s="8" r="A807"/>
      <c s="8" r="B807"/>
      <c s="8" r="C807"/>
      <c s="8" r="D807"/>
      <c s="8" r="E807"/>
      <c s="8" r="F807"/>
      <c s="8" r="G807"/>
      <c s="8" r="H807"/>
      <c s="8" r="I807"/>
      <c s="8" r="J807"/>
      <c s="8" r="K807"/>
      <c s="8" r="L807"/>
      <c s="8" r="M807"/>
      <c s="8" r="N807"/>
      <c s="8" r="O807"/>
      <c s="8" r="P807"/>
      <c s="8" r="Q807"/>
      <c s="8" r="R807"/>
      <c s="8" r="S807"/>
      <c s="8" r="T807"/>
      <c s="8" r="U807"/>
      <c s="8" r="V807"/>
      <c s="8" r="W807"/>
      <c s="8" r="X807"/>
      <c s="8" r="Y807"/>
      <c s="8" r="Z807"/>
      <c s="8" r="AA807"/>
    </row>
    <row r="808">
      <c s="8" r="A808"/>
      <c s="8" r="B808"/>
      <c s="8" r="C808"/>
      <c s="8" r="D808"/>
      <c s="8" r="E808"/>
      <c s="8" r="F808"/>
      <c s="8" r="G808"/>
      <c s="8" r="H808"/>
      <c s="8" r="I808"/>
      <c s="8" r="J808"/>
      <c s="8" r="K808"/>
      <c s="8" r="L808"/>
      <c s="8" r="M808"/>
      <c s="8" r="N808"/>
      <c s="8" r="O808"/>
      <c s="8" r="P808"/>
      <c s="8" r="Q808"/>
      <c s="8" r="R808"/>
      <c s="8" r="S808"/>
      <c s="8" r="T808"/>
      <c s="8" r="U808"/>
      <c s="8" r="V808"/>
      <c s="8" r="W808"/>
      <c s="8" r="X808"/>
      <c s="8" r="Y808"/>
      <c s="8" r="Z808"/>
      <c s="8" r="AA808"/>
    </row>
    <row r="809">
      <c s="8" r="A809"/>
      <c s="8" r="B809"/>
      <c s="8" r="C809"/>
      <c s="8" r="D809"/>
      <c s="8" r="E809"/>
      <c s="8" r="F809"/>
      <c s="8" r="G809"/>
      <c s="8" r="H809"/>
      <c s="8" r="I809"/>
      <c s="8" r="J809"/>
      <c s="8" r="K809"/>
      <c s="8" r="L809"/>
      <c s="8" r="M809"/>
      <c s="8" r="N809"/>
      <c s="8" r="O809"/>
      <c s="8" r="P809"/>
      <c s="8" r="Q809"/>
      <c s="8" r="R809"/>
      <c s="8" r="S809"/>
      <c s="8" r="T809"/>
      <c s="8" r="U809"/>
      <c s="8" r="V809"/>
      <c s="8" r="W809"/>
      <c s="8" r="X809"/>
      <c s="8" r="Y809"/>
      <c s="8" r="Z809"/>
      <c s="8" r="AA809"/>
    </row>
    <row r="810">
      <c s="8" r="A810"/>
      <c s="8" r="B810"/>
      <c s="8" r="C810"/>
      <c s="8" r="D810"/>
      <c s="8" r="E810"/>
      <c s="8" r="F810"/>
      <c s="8" r="G810"/>
      <c s="8" r="H810"/>
      <c s="8" r="I810"/>
      <c s="8" r="J810"/>
      <c s="8" r="K810"/>
      <c s="8" r="L810"/>
      <c s="8" r="M810"/>
      <c s="8" r="N810"/>
      <c s="8" r="O810"/>
      <c s="8" r="P810"/>
      <c s="8" r="Q810"/>
      <c s="8" r="R810"/>
      <c s="8" r="S810"/>
      <c s="8" r="T810"/>
      <c s="8" r="U810"/>
      <c s="8" r="V810"/>
      <c s="8" r="W810"/>
      <c s="8" r="X810"/>
      <c s="8" r="Y810"/>
      <c s="8" r="Z810"/>
      <c s="8" r="AA810"/>
    </row>
    <row r="811">
      <c s="8" r="A811"/>
      <c s="8" r="B811"/>
      <c s="8" r="C811"/>
      <c s="8" r="D811"/>
      <c s="8" r="E811"/>
      <c s="8" r="F811"/>
      <c s="8" r="G811"/>
      <c s="8" r="H811"/>
      <c s="8" r="I811"/>
      <c s="8" r="J811"/>
      <c s="8" r="K811"/>
      <c s="8" r="L811"/>
      <c s="8" r="M811"/>
      <c s="8" r="N811"/>
      <c s="8" r="O811"/>
      <c s="8" r="P811"/>
      <c s="8" r="Q811"/>
      <c s="8" r="R811"/>
      <c s="8" r="S811"/>
      <c s="8" r="T811"/>
      <c s="8" r="U811"/>
      <c s="8" r="V811"/>
      <c s="8" r="W811"/>
      <c s="8" r="X811"/>
      <c s="8" r="Y811"/>
      <c s="8" r="Z811"/>
      <c s="8" r="AA811"/>
    </row>
    <row r="812">
      <c s="8" r="A812"/>
      <c s="8" r="B812"/>
      <c s="8" r="C812"/>
      <c s="8" r="D812"/>
      <c s="8" r="E812"/>
      <c s="8" r="F812"/>
      <c s="8" r="G812"/>
      <c s="8" r="H812"/>
      <c s="8" r="I812"/>
      <c s="8" r="J812"/>
      <c s="8" r="K812"/>
      <c s="8" r="L812"/>
      <c s="8" r="M812"/>
      <c s="8" r="N812"/>
      <c s="8" r="O812"/>
      <c s="8" r="P812"/>
      <c s="8" r="Q812"/>
      <c s="8" r="R812"/>
      <c s="8" r="S812"/>
      <c s="8" r="T812"/>
      <c s="8" r="U812"/>
      <c s="8" r="V812"/>
      <c s="8" r="W812"/>
      <c s="8" r="X812"/>
      <c s="8" r="Y812"/>
      <c s="8" r="Z812"/>
      <c s="8" r="AA812"/>
    </row>
    <row r="813">
      <c s="8" r="A813"/>
      <c s="8" r="B813"/>
      <c s="8" r="C813"/>
      <c s="8" r="D813"/>
      <c s="8" r="E813"/>
      <c s="8" r="F813"/>
      <c s="8" r="G813"/>
      <c s="8" r="H813"/>
      <c s="8" r="I813"/>
      <c s="8" r="J813"/>
      <c s="8" r="K813"/>
      <c s="8" r="L813"/>
      <c s="8" r="M813"/>
      <c s="8" r="N813"/>
      <c s="8" r="O813"/>
      <c s="8" r="P813"/>
      <c s="8" r="Q813"/>
      <c s="8" r="R813"/>
      <c s="8" r="S813"/>
      <c s="8" r="T813"/>
      <c s="8" r="U813"/>
      <c s="8" r="V813"/>
      <c s="8" r="W813"/>
      <c s="8" r="X813"/>
      <c s="8" r="Y813"/>
      <c s="8" r="Z813"/>
      <c s="8" r="AA813"/>
    </row>
    <row r="814">
      <c s="8" r="A814"/>
      <c s="8" r="B814"/>
      <c s="8" r="C814"/>
      <c s="8" r="D814"/>
      <c s="8" r="E814"/>
      <c s="8" r="F814"/>
      <c s="8" r="G814"/>
      <c s="8" r="H814"/>
      <c s="8" r="I814"/>
      <c s="8" r="J814"/>
      <c s="8" r="K814"/>
      <c s="8" r="L814"/>
      <c s="8" r="M814"/>
      <c s="8" r="N814"/>
      <c s="8" r="O814"/>
      <c s="8" r="P814"/>
      <c s="8" r="Q814"/>
      <c s="8" r="R814"/>
      <c s="8" r="S814"/>
      <c s="8" r="T814"/>
      <c s="8" r="U814"/>
      <c s="8" r="V814"/>
      <c s="8" r="W814"/>
      <c s="8" r="X814"/>
      <c s="8" r="Y814"/>
      <c s="8" r="Z814"/>
      <c s="8" r="AA814"/>
    </row>
    <row r="815">
      <c s="8" r="A815"/>
      <c s="8" r="B815"/>
      <c s="8" r="C815"/>
      <c s="8" r="D815"/>
      <c s="8" r="E815"/>
      <c s="8" r="F815"/>
      <c s="8" r="G815"/>
      <c s="8" r="H815"/>
      <c s="8" r="I815"/>
      <c s="8" r="J815"/>
      <c s="8" r="K815"/>
      <c s="8" r="L815"/>
      <c s="8" r="M815"/>
      <c s="8" r="N815"/>
      <c s="8" r="O815"/>
      <c s="8" r="P815"/>
      <c s="8" r="Q815"/>
      <c s="8" r="R815"/>
      <c s="8" r="S815"/>
      <c s="8" r="T815"/>
      <c s="8" r="U815"/>
      <c s="8" r="V815"/>
      <c s="8" r="W815"/>
      <c s="8" r="X815"/>
      <c s="8" r="Y815"/>
      <c s="8" r="Z815"/>
      <c s="8" r="AA815"/>
    </row>
    <row r="816">
      <c s="8" r="A816"/>
      <c s="8" r="B816"/>
      <c s="8" r="C816"/>
      <c s="8" r="D816"/>
      <c s="8" r="E816"/>
      <c s="8" r="F816"/>
      <c s="8" r="G816"/>
      <c s="8" r="H816"/>
      <c s="8" r="I816"/>
      <c s="8" r="J816"/>
      <c s="8" r="K816"/>
      <c s="8" r="L816"/>
      <c s="8" r="M816"/>
      <c s="8" r="N816"/>
      <c s="8" r="O816"/>
      <c s="8" r="P816"/>
      <c s="8" r="Q816"/>
      <c s="8" r="R816"/>
      <c s="8" r="S816"/>
      <c s="8" r="T816"/>
      <c s="8" r="U816"/>
      <c s="8" r="V816"/>
      <c s="8" r="W816"/>
      <c s="8" r="X816"/>
      <c s="8" r="Y816"/>
      <c s="8" r="Z816"/>
      <c s="8" r="AA816"/>
    </row>
    <row r="817">
      <c s="8" r="A817"/>
      <c s="8" r="B817"/>
      <c s="8" r="C817"/>
      <c s="8" r="D817"/>
      <c s="8" r="E817"/>
      <c s="8" r="F817"/>
      <c s="8" r="G817"/>
      <c s="8" r="H817"/>
      <c s="8" r="I817"/>
      <c s="8" r="J817"/>
      <c s="8" r="K817"/>
      <c s="8" r="L817"/>
      <c s="8" r="M817"/>
      <c s="8" r="N817"/>
      <c s="8" r="O817"/>
      <c s="8" r="P817"/>
      <c s="8" r="Q817"/>
      <c s="8" r="R817"/>
      <c s="8" r="S817"/>
      <c s="8" r="T817"/>
      <c s="8" r="U817"/>
      <c s="8" r="V817"/>
      <c s="8" r="W817"/>
      <c s="8" r="X817"/>
      <c s="8" r="Y817"/>
      <c s="8" r="Z817"/>
      <c s="8" r="AA817"/>
    </row>
    <row r="818">
      <c s="8" r="A818"/>
      <c s="8" r="B818"/>
      <c s="8" r="C818"/>
      <c s="8" r="D818"/>
      <c s="8" r="E818"/>
      <c s="8" r="F818"/>
      <c s="8" r="G818"/>
      <c s="8" r="H818"/>
      <c s="8" r="I818"/>
      <c s="8" r="J818"/>
      <c s="8" r="K818"/>
      <c s="8" r="L818"/>
      <c s="8" r="M818"/>
      <c s="8" r="N818"/>
      <c s="8" r="O818"/>
      <c s="8" r="P818"/>
      <c s="8" r="Q818"/>
      <c s="8" r="R818"/>
      <c s="8" r="S818"/>
      <c s="8" r="T818"/>
      <c s="8" r="U818"/>
      <c s="8" r="V818"/>
      <c s="8" r="W818"/>
      <c s="8" r="X818"/>
      <c s="8" r="Y818"/>
      <c s="8" r="Z818"/>
      <c s="8" r="AA818"/>
    </row>
    <row r="819">
      <c s="8" r="A819"/>
      <c s="8" r="B819"/>
      <c s="8" r="C819"/>
      <c s="8" r="D819"/>
      <c s="8" r="E819"/>
      <c s="8" r="F819"/>
      <c s="8" r="G819"/>
      <c s="8" r="H819"/>
      <c s="8" r="I819"/>
      <c s="8" r="J819"/>
      <c s="8" r="K819"/>
      <c s="8" r="L819"/>
      <c s="8" r="M819"/>
      <c s="8" r="N819"/>
      <c s="8" r="O819"/>
      <c s="8" r="P819"/>
      <c s="8" r="Q819"/>
      <c s="8" r="R819"/>
      <c s="8" r="S819"/>
      <c s="8" r="T819"/>
      <c s="8" r="U819"/>
      <c s="8" r="V819"/>
      <c s="8" r="W819"/>
      <c s="8" r="X819"/>
      <c s="8" r="Y819"/>
      <c s="8" r="Z819"/>
      <c s="8" r="AA819"/>
    </row>
    <row r="820">
      <c s="8" r="A820"/>
      <c s="8" r="B820"/>
      <c s="8" r="C820"/>
      <c s="8" r="D820"/>
      <c s="8" r="E820"/>
      <c s="8" r="F820"/>
      <c s="8" r="G820"/>
      <c s="8" r="H820"/>
      <c s="8" r="I820"/>
      <c s="8" r="J820"/>
      <c s="8" r="K820"/>
      <c s="8" r="L820"/>
      <c s="8" r="M820"/>
      <c s="8" r="N820"/>
      <c s="8" r="O820"/>
      <c s="8" r="P820"/>
      <c s="8" r="Q820"/>
      <c s="8" r="R820"/>
      <c s="8" r="S820"/>
      <c s="8" r="T820"/>
      <c s="8" r="U820"/>
      <c s="8" r="V820"/>
      <c s="8" r="W820"/>
      <c s="8" r="X820"/>
      <c s="8" r="Y820"/>
      <c s="8" r="Z820"/>
      <c s="8" r="AA820"/>
    </row>
    <row r="821">
      <c s="8" r="A821"/>
      <c s="8" r="B821"/>
      <c s="8" r="C821"/>
      <c s="8" r="D821"/>
      <c s="8" r="E821"/>
      <c s="8" r="F821"/>
      <c s="8" r="G821"/>
      <c s="8" r="H821"/>
      <c s="8" r="I821"/>
      <c s="8" r="J821"/>
      <c s="8" r="K821"/>
      <c s="8" r="L821"/>
      <c s="8" r="M821"/>
      <c s="8" r="N821"/>
      <c s="8" r="O821"/>
      <c s="8" r="P821"/>
      <c s="8" r="Q821"/>
      <c s="8" r="R821"/>
      <c s="8" r="S821"/>
      <c s="8" r="T821"/>
      <c s="8" r="U821"/>
      <c s="8" r="V821"/>
      <c s="8" r="W821"/>
      <c s="8" r="X821"/>
      <c s="8" r="Y821"/>
      <c s="8" r="Z821"/>
      <c s="8" r="AA821"/>
    </row>
    <row r="822">
      <c s="8" r="A822"/>
      <c s="8" r="B822"/>
      <c s="8" r="C822"/>
      <c s="8" r="D822"/>
      <c s="8" r="E822"/>
      <c s="8" r="F822"/>
      <c s="8" r="G822"/>
      <c s="8" r="H822"/>
      <c s="8" r="I822"/>
      <c s="8" r="J822"/>
      <c s="8" r="K822"/>
      <c s="8" r="L822"/>
      <c s="8" r="M822"/>
      <c s="8" r="N822"/>
      <c s="8" r="O822"/>
      <c s="8" r="P822"/>
      <c s="8" r="Q822"/>
      <c s="8" r="R822"/>
      <c s="8" r="S822"/>
      <c s="8" r="T822"/>
      <c s="8" r="U822"/>
      <c s="8" r="V822"/>
      <c s="8" r="W822"/>
      <c s="8" r="X822"/>
      <c s="8" r="Y822"/>
      <c s="8" r="Z822"/>
      <c s="8" r="AA822"/>
    </row>
    <row r="823">
      <c s="8" r="A823"/>
      <c s="8" r="B823"/>
      <c s="8" r="C823"/>
      <c s="8" r="D823"/>
      <c s="8" r="E823"/>
      <c s="8" r="F823"/>
      <c s="8" r="G823"/>
      <c s="8" r="H823"/>
      <c s="8" r="I823"/>
      <c s="8" r="J823"/>
      <c s="8" r="K823"/>
      <c s="8" r="L823"/>
      <c s="8" r="M823"/>
      <c s="8" r="N823"/>
      <c s="8" r="O823"/>
      <c s="8" r="P823"/>
      <c s="8" r="Q823"/>
      <c s="8" r="R823"/>
      <c s="8" r="S823"/>
      <c s="8" r="T823"/>
      <c s="8" r="U823"/>
      <c s="8" r="V823"/>
      <c s="8" r="W823"/>
      <c s="8" r="X823"/>
      <c s="8" r="Y823"/>
      <c s="8" r="Z823"/>
      <c s="8" r="AA823"/>
    </row>
    <row r="824">
      <c s="8" r="A824"/>
      <c s="8" r="B824"/>
      <c s="8" r="C824"/>
      <c s="8" r="D824"/>
      <c s="8" r="E824"/>
      <c s="8" r="F824"/>
      <c s="8" r="G824"/>
      <c s="8" r="H824"/>
      <c s="8" r="I824"/>
      <c s="8" r="J824"/>
      <c s="8" r="K824"/>
      <c s="8" r="L824"/>
      <c s="8" r="M824"/>
      <c s="8" r="N824"/>
      <c s="8" r="O824"/>
      <c s="8" r="P824"/>
      <c s="8" r="Q824"/>
      <c s="8" r="R824"/>
      <c s="8" r="S824"/>
      <c s="8" r="T824"/>
      <c s="8" r="U824"/>
      <c s="8" r="V824"/>
      <c s="8" r="W824"/>
      <c s="8" r="X824"/>
      <c s="8" r="Y824"/>
      <c s="8" r="Z824"/>
      <c s="8" r="AA824"/>
    </row>
    <row r="825">
      <c s="8" r="A825"/>
      <c s="8" r="B825"/>
      <c s="8" r="C825"/>
      <c s="8" r="D825"/>
      <c s="8" r="E825"/>
      <c s="8" r="F825"/>
      <c s="8" r="G825"/>
      <c s="8" r="H825"/>
      <c s="8" r="I825"/>
      <c s="8" r="J825"/>
      <c s="8" r="K825"/>
      <c s="8" r="L825"/>
      <c s="8" r="M825"/>
      <c s="8" r="N825"/>
      <c s="8" r="O825"/>
      <c s="8" r="P825"/>
      <c s="8" r="Q825"/>
      <c s="8" r="R825"/>
      <c s="8" r="S825"/>
      <c s="8" r="T825"/>
      <c s="8" r="U825"/>
      <c s="8" r="V825"/>
      <c s="8" r="W825"/>
      <c s="8" r="X825"/>
      <c s="8" r="Y825"/>
      <c s="8" r="Z825"/>
      <c s="8" r="AA825"/>
    </row>
    <row r="826">
      <c s="8" r="A826"/>
      <c s="8" r="B826"/>
      <c s="8" r="C826"/>
      <c s="8" r="D826"/>
      <c s="8" r="E826"/>
      <c s="8" r="F826"/>
      <c s="8" r="G826"/>
      <c s="8" r="H826"/>
      <c s="8" r="I826"/>
      <c s="8" r="J826"/>
      <c s="8" r="K826"/>
      <c s="8" r="L826"/>
      <c s="8" r="M826"/>
      <c s="8" r="N826"/>
      <c s="8" r="O826"/>
      <c s="8" r="P826"/>
      <c s="8" r="Q826"/>
      <c s="8" r="R826"/>
      <c s="8" r="S826"/>
      <c s="8" r="T826"/>
      <c s="8" r="U826"/>
      <c s="8" r="V826"/>
      <c s="8" r="W826"/>
      <c s="8" r="X826"/>
      <c s="8" r="Y826"/>
      <c s="8" r="Z826"/>
      <c s="8" r="AA826"/>
    </row>
    <row r="827">
      <c s="8" r="A827"/>
      <c s="8" r="B827"/>
      <c s="8" r="C827"/>
      <c s="8" r="D827"/>
      <c s="8" r="E827"/>
      <c s="8" r="F827"/>
      <c s="8" r="G827"/>
      <c s="8" r="H827"/>
      <c s="8" r="I827"/>
      <c s="8" r="J827"/>
      <c s="8" r="K827"/>
      <c s="8" r="L827"/>
      <c s="8" r="M827"/>
      <c s="8" r="N827"/>
      <c s="8" r="O827"/>
      <c s="8" r="P827"/>
      <c s="8" r="Q827"/>
      <c s="8" r="R827"/>
      <c s="8" r="S827"/>
      <c s="8" r="T827"/>
      <c s="8" r="U827"/>
      <c s="8" r="V827"/>
      <c s="8" r="W827"/>
      <c s="8" r="X827"/>
      <c s="8" r="Y827"/>
      <c s="8" r="Z827"/>
      <c s="8" r="AA827"/>
    </row>
    <row r="828">
      <c s="8" r="A828"/>
      <c s="8" r="B828"/>
      <c s="8" r="C828"/>
      <c s="8" r="D828"/>
      <c s="8" r="E828"/>
      <c s="8" r="F828"/>
      <c s="8" r="G828"/>
      <c s="8" r="H828"/>
      <c s="8" r="I828"/>
      <c s="8" r="J828"/>
      <c s="8" r="K828"/>
      <c s="8" r="L828"/>
      <c s="8" r="M828"/>
      <c s="8" r="N828"/>
      <c s="8" r="O828"/>
      <c s="8" r="P828"/>
      <c s="8" r="Q828"/>
      <c s="8" r="R828"/>
      <c s="8" r="S828"/>
      <c s="8" r="T828"/>
      <c s="8" r="U828"/>
      <c s="8" r="V828"/>
      <c s="8" r="W828"/>
      <c s="8" r="X828"/>
      <c s="8" r="Y828"/>
      <c s="8" r="Z828"/>
      <c s="8" r="AA828"/>
    </row>
    <row r="829">
      <c s="8" r="A829"/>
      <c s="8" r="B829"/>
      <c s="8" r="C829"/>
      <c s="8" r="D829"/>
      <c s="8" r="E829"/>
      <c s="8" r="F829"/>
      <c s="8" r="G829"/>
      <c s="8" r="H829"/>
      <c s="8" r="I829"/>
      <c s="8" r="J829"/>
      <c s="8" r="K829"/>
      <c s="8" r="L829"/>
      <c s="8" r="M829"/>
      <c s="8" r="N829"/>
      <c s="8" r="O829"/>
      <c s="8" r="P829"/>
      <c s="8" r="Q829"/>
      <c s="8" r="R829"/>
      <c s="8" r="S829"/>
      <c s="8" r="T829"/>
      <c s="8" r="U829"/>
      <c s="8" r="V829"/>
      <c s="8" r="W829"/>
      <c s="8" r="X829"/>
      <c s="8" r="Y829"/>
      <c s="8" r="Z829"/>
      <c s="8" r="AA829"/>
    </row>
    <row r="830">
      <c s="8" r="A830"/>
      <c s="8" r="B830"/>
      <c s="8" r="C830"/>
      <c s="8" r="D830"/>
      <c s="8" r="E830"/>
      <c s="8" r="F830"/>
      <c s="8" r="G830"/>
      <c s="8" r="H830"/>
      <c s="8" r="I830"/>
      <c s="8" r="J830"/>
      <c s="8" r="K830"/>
      <c s="8" r="L830"/>
      <c s="8" r="M830"/>
      <c s="8" r="N830"/>
      <c s="8" r="O830"/>
      <c s="8" r="P830"/>
      <c s="8" r="Q830"/>
      <c s="8" r="R830"/>
      <c s="8" r="S830"/>
      <c s="8" r="T830"/>
      <c s="8" r="U830"/>
      <c s="8" r="V830"/>
      <c s="8" r="W830"/>
      <c s="8" r="X830"/>
      <c s="8" r="Y830"/>
      <c s="8" r="Z830"/>
      <c s="8" r="AA830"/>
    </row>
    <row r="831">
      <c s="8" r="A831"/>
      <c s="8" r="B831"/>
      <c s="8" r="C831"/>
      <c s="8" r="D831"/>
      <c s="8" r="E831"/>
      <c s="8" r="F831"/>
      <c s="8" r="G831"/>
      <c s="8" r="H831"/>
      <c s="8" r="I831"/>
      <c s="8" r="J831"/>
      <c s="8" r="K831"/>
      <c s="8" r="L831"/>
      <c s="8" r="M831"/>
      <c s="8" r="N831"/>
      <c s="8" r="O831"/>
      <c s="8" r="P831"/>
      <c s="8" r="Q831"/>
      <c s="8" r="R831"/>
      <c s="8" r="S831"/>
      <c s="8" r="T831"/>
      <c s="8" r="U831"/>
      <c s="8" r="V831"/>
      <c s="8" r="W831"/>
      <c s="8" r="X831"/>
      <c s="8" r="Y831"/>
      <c s="8" r="Z831"/>
      <c s="8" r="AA831"/>
    </row>
    <row r="832">
      <c s="8" r="A832"/>
      <c s="8" r="B832"/>
      <c s="8" r="C832"/>
      <c s="8" r="D832"/>
      <c s="8" r="E832"/>
      <c s="8" r="F832"/>
      <c s="8" r="G832"/>
      <c s="8" r="H832"/>
      <c s="8" r="I832"/>
      <c s="8" r="J832"/>
      <c s="8" r="K832"/>
      <c s="8" r="L832"/>
      <c s="8" r="M832"/>
      <c s="8" r="N832"/>
      <c s="8" r="O832"/>
      <c s="8" r="P832"/>
      <c s="8" r="Q832"/>
      <c s="8" r="R832"/>
      <c s="8" r="S832"/>
      <c s="8" r="T832"/>
      <c s="8" r="U832"/>
      <c s="8" r="V832"/>
      <c s="8" r="W832"/>
      <c s="8" r="X832"/>
      <c s="8" r="Y832"/>
      <c s="8" r="Z832"/>
      <c s="8" r="AA832"/>
    </row>
    <row r="833">
      <c s="8" r="A833"/>
      <c s="8" r="B833"/>
      <c s="8" r="C833"/>
      <c s="8" r="D833"/>
      <c s="8" r="E833"/>
      <c s="8" r="F833"/>
      <c s="8" r="G833"/>
      <c s="8" r="H833"/>
      <c s="8" r="I833"/>
      <c s="8" r="J833"/>
      <c s="8" r="K833"/>
      <c s="8" r="L833"/>
      <c s="8" r="M833"/>
      <c s="8" r="N833"/>
      <c s="8" r="O833"/>
      <c s="8" r="P833"/>
      <c s="8" r="Q833"/>
      <c s="8" r="R833"/>
      <c s="8" r="S833"/>
      <c s="8" r="T833"/>
      <c s="8" r="U833"/>
      <c s="8" r="V833"/>
      <c s="8" r="W833"/>
      <c s="8" r="X833"/>
      <c s="8" r="Y833"/>
      <c s="8" r="Z833"/>
      <c s="8" r="AA833"/>
    </row>
    <row r="834">
      <c s="8" r="A834"/>
      <c s="8" r="B834"/>
      <c s="8" r="C834"/>
      <c s="8" r="D834"/>
      <c s="8" r="E834"/>
      <c s="8" r="F834"/>
      <c s="8" r="G834"/>
      <c s="8" r="H834"/>
      <c s="8" r="I834"/>
      <c s="8" r="J834"/>
      <c s="8" r="K834"/>
      <c s="8" r="L834"/>
      <c s="8" r="M834"/>
      <c s="8" r="N834"/>
      <c s="8" r="O834"/>
      <c s="8" r="P834"/>
      <c s="8" r="Q834"/>
      <c s="8" r="R834"/>
      <c s="8" r="S834"/>
      <c s="8" r="T834"/>
      <c s="8" r="U834"/>
      <c s="8" r="V834"/>
      <c s="8" r="W834"/>
      <c s="8" r="X834"/>
      <c s="8" r="Y834"/>
      <c s="8" r="Z834"/>
      <c s="8" r="AA834"/>
    </row>
    <row r="835">
      <c s="8" r="A835"/>
      <c s="8" r="B835"/>
      <c s="8" r="C835"/>
      <c s="8" r="D835"/>
      <c s="8" r="E835"/>
      <c s="8" r="F835"/>
      <c s="8" r="G835"/>
      <c s="8" r="H835"/>
      <c s="8" r="I835"/>
      <c s="8" r="J835"/>
      <c s="8" r="K835"/>
      <c s="8" r="L835"/>
      <c s="8" r="M835"/>
      <c s="8" r="N835"/>
      <c s="8" r="O835"/>
      <c s="8" r="P835"/>
      <c s="8" r="Q835"/>
      <c s="8" r="R835"/>
      <c s="8" r="S835"/>
      <c s="8" r="T835"/>
      <c s="8" r="U835"/>
      <c s="8" r="V835"/>
      <c s="8" r="W835"/>
      <c s="8" r="X835"/>
      <c s="8" r="Y835"/>
      <c s="8" r="Z835"/>
      <c s="8" r="AA835"/>
    </row>
    <row r="836">
      <c s="8" r="A836"/>
      <c s="8" r="B836"/>
      <c s="8" r="C836"/>
      <c s="8" r="D836"/>
      <c s="8" r="E836"/>
      <c s="8" r="F836"/>
      <c s="8" r="G836"/>
      <c s="8" r="H836"/>
      <c s="8" r="I836"/>
      <c s="8" r="J836"/>
      <c s="8" r="K836"/>
      <c s="8" r="L836"/>
      <c s="8" r="M836"/>
      <c s="8" r="N836"/>
      <c s="8" r="O836"/>
      <c s="8" r="P836"/>
      <c s="8" r="Q836"/>
      <c s="8" r="R836"/>
      <c s="8" r="S836"/>
      <c s="8" r="T836"/>
      <c s="8" r="U836"/>
      <c s="8" r="V836"/>
      <c s="8" r="W836"/>
      <c s="8" r="X836"/>
      <c s="8" r="Y836"/>
      <c s="8" r="Z836"/>
      <c s="8" r="AA836"/>
    </row>
    <row r="837">
      <c s="8" r="A837"/>
      <c s="8" r="B837"/>
      <c s="8" r="C837"/>
      <c s="8" r="D837"/>
      <c s="8" r="E837"/>
      <c s="8" r="F837"/>
      <c s="8" r="G837"/>
      <c s="8" r="H837"/>
      <c s="8" r="I837"/>
      <c s="8" r="J837"/>
      <c s="8" r="K837"/>
      <c s="8" r="L837"/>
      <c s="8" r="M837"/>
      <c s="8" r="N837"/>
      <c s="8" r="O837"/>
      <c s="8" r="P837"/>
      <c s="8" r="Q837"/>
      <c s="8" r="R837"/>
      <c s="8" r="S837"/>
      <c s="8" r="T837"/>
      <c s="8" r="U837"/>
      <c s="8" r="V837"/>
      <c s="8" r="W837"/>
      <c s="8" r="X837"/>
      <c s="8" r="Y837"/>
      <c s="8" r="Z837"/>
      <c s="8" r="AA837"/>
    </row>
    <row r="838">
      <c s="8" r="A838"/>
      <c s="8" r="B838"/>
      <c s="8" r="C838"/>
      <c s="8" r="D838"/>
      <c s="8" r="E838"/>
      <c s="8" r="F838"/>
      <c s="8" r="G838"/>
      <c s="8" r="H838"/>
      <c s="8" r="I838"/>
      <c s="8" r="J838"/>
      <c s="8" r="K838"/>
      <c s="8" r="L838"/>
      <c s="8" r="M838"/>
      <c s="8" r="N838"/>
      <c s="8" r="O838"/>
      <c s="8" r="P838"/>
      <c s="8" r="Q838"/>
      <c s="8" r="R838"/>
      <c s="8" r="S838"/>
      <c s="8" r="T838"/>
      <c s="8" r="U838"/>
      <c s="8" r="V838"/>
      <c s="8" r="W838"/>
      <c s="8" r="X838"/>
      <c s="8" r="Y838"/>
      <c s="8" r="Z838"/>
      <c s="8" r="AA838"/>
    </row>
    <row r="839">
      <c s="8" r="A839"/>
      <c s="8" r="B839"/>
      <c s="8" r="C839"/>
      <c s="8" r="D839"/>
      <c s="8" r="E839"/>
      <c s="8" r="F839"/>
      <c s="8" r="G839"/>
      <c s="8" r="H839"/>
      <c s="8" r="I839"/>
      <c s="8" r="J839"/>
      <c s="8" r="K839"/>
      <c s="8" r="L839"/>
      <c s="8" r="M839"/>
      <c s="8" r="N839"/>
      <c s="8" r="O839"/>
      <c s="8" r="P839"/>
      <c s="8" r="Q839"/>
      <c s="8" r="R839"/>
      <c s="8" r="S839"/>
      <c s="8" r="T839"/>
      <c s="8" r="U839"/>
      <c s="8" r="V839"/>
      <c s="8" r="W839"/>
      <c s="8" r="X839"/>
      <c s="8" r="Y839"/>
      <c s="8" r="Z839"/>
      <c s="8" r="AA839"/>
    </row>
    <row r="840">
      <c s="8" r="A840"/>
      <c s="8" r="B840"/>
      <c s="8" r="C840"/>
      <c s="8" r="D840"/>
      <c s="8" r="E840"/>
      <c s="8" r="F840"/>
      <c s="8" r="G840"/>
      <c s="8" r="H840"/>
      <c s="8" r="I840"/>
      <c s="8" r="J840"/>
      <c s="8" r="K840"/>
      <c s="8" r="L840"/>
      <c s="8" r="M840"/>
      <c s="8" r="N840"/>
      <c s="8" r="O840"/>
      <c s="8" r="P840"/>
      <c s="8" r="Q840"/>
      <c s="8" r="R840"/>
      <c s="8" r="S840"/>
      <c s="8" r="T840"/>
      <c s="8" r="U840"/>
      <c s="8" r="V840"/>
      <c s="8" r="W840"/>
      <c s="8" r="X840"/>
      <c s="8" r="Y840"/>
      <c s="8" r="Z840"/>
      <c s="8" r="AA840"/>
    </row>
    <row r="841">
      <c s="8" r="A841"/>
      <c s="8" r="B841"/>
      <c s="8" r="C841"/>
      <c s="8" r="D841"/>
      <c s="8" r="E841"/>
      <c s="8" r="F841"/>
      <c s="8" r="G841"/>
      <c s="8" r="H841"/>
      <c s="8" r="I841"/>
      <c s="8" r="J841"/>
      <c s="8" r="K841"/>
      <c s="8" r="L841"/>
      <c s="8" r="M841"/>
      <c s="8" r="N841"/>
      <c s="8" r="O841"/>
      <c s="8" r="P841"/>
      <c s="8" r="Q841"/>
      <c s="8" r="R841"/>
      <c s="8" r="S841"/>
      <c s="8" r="T841"/>
      <c s="8" r="U841"/>
      <c s="8" r="V841"/>
      <c s="8" r="W841"/>
      <c s="8" r="X841"/>
      <c s="8" r="Y841"/>
      <c s="8" r="Z841"/>
      <c s="8" r="AA841"/>
    </row>
    <row r="842">
      <c s="8" r="A842"/>
      <c s="8" r="B842"/>
      <c s="8" r="C842"/>
      <c s="8" r="D842"/>
      <c s="8" r="E842"/>
      <c s="8" r="F842"/>
      <c s="8" r="G842"/>
      <c s="8" r="H842"/>
      <c s="8" r="I842"/>
      <c s="8" r="J842"/>
      <c s="8" r="K842"/>
      <c s="8" r="L842"/>
      <c s="8" r="M842"/>
      <c s="8" r="N842"/>
      <c s="8" r="O842"/>
      <c s="8" r="P842"/>
      <c s="8" r="Q842"/>
      <c s="8" r="R842"/>
      <c s="8" r="S842"/>
      <c s="8" r="T842"/>
      <c s="8" r="U842"/>
      <c s="8" r="V842"/>
      <c s="8" r="W842"/>
      <c s="8" r="X842"/>
      <c s="8" r="Y842"/>
      <c s="8" r="Z842"/>
      <c s="8" r="AA842"/>
    </row>
    <row r="843">
      <c s="8" r="A843"/>
      <c s="8" r="B843"/>
      <c s="8" r="C843"/>
      <c s="8" r="D843"/>
      <c s="8" r="E843"/>
      <c s="8" r="F843"/>
      <c s="8" r="G843"/>
      <c s="8" r="H843"/>
      <c s="8" r="I843"/>
      <c s="8" r="J843"/>
      <c s="8" r="K843"/>
      <c s="8" r="L843"/>
      <c s="8" r="M843"/>
      <c s="8" r="N843"/>
      <c s="8" r="O843"/>
      <c s="8" r="P843"/>
      <c s="8" r="Q843"/>
      <c s="8" r="R843"/>
      <c s="8" r="S843"/>
      <c s="8" r="T843"/>
      <c s="8" r="U843"/>
      <c s="8" r="V843"/>
      <c s="8" r="W843"/>
      <c s="8" r="X843"/>
      <c s="8" r="Y843"/>
      <c s="8" r="Z843"/>
      <c s="8" r="AA843"/>
    </row>
    <row r="844">
      <c s="8" r="A844"/>
      <c s="8" r="B844"/>
      <c s="8" r="C844"/>
      <c s="8" r="D844"/>
      <c s="8" r="E844"/>
      <c s="8" r="F844"/>
      <c s="8" r="G844"/>
      <c s="8" r="H844"/>
      <c s="8" r="I844"/>
      <c s="8" r="J844"/>
      <c s="8" r="K844"/>
      <c s="8" r="L844"/>
      <c s="8" r="M844"/>
      <c s="8" r="N844"/>
      <c s="8" r="O844"/>
      <c s="8" r="P844"/>
      <c s="8" r="Q844"/>
      <c s="8" r="R844"/>
      <c s="8" r="S844"/>
      <c s="8" r="T844"/>
      <c s="8" r="U844"/>
      <c s="8" r="V844"/>
      <c s="8" r="W844"/>
      <c s="8" r="X844"/>
      <c s="8" r="Y844"/>
      <c s="8" r="Z844"/>
      <c s="8" r="AA844"/>
    </row>
    <row r="845">
      <c s="8" r="A845"/>
      <c s="8" r="B845"/>
      <c s="8" r="C845"/>
      <c s="8" r="D845"/>
      <c s="8" r="E845"/>
      <c s="8" r="F845"/>
      <c s="8" r="G845"/>
      <c s="8" r="H845"/>
      <c s="8" r="I845"/>
      <c s="8" r="J845"/>
      <c s="8" r="K845"/>
      <c s="8" r="L845"/>
      <c s="8" r="M845"/>
      <c s="8" r="N845"/>
      <c s="8" r="O845"/>
      <c s="8" r="P845"/>
      <c s="8" r="Q845"/>
      <c s="8" r="R845"/>
      <c s="8" r="S845"/>
      <c s="8" r="T845"/>
      <c s="8" r="U845"/>
      <c s="8" r="V845"/>
      <c s="8" r="W845"/>
      <c s="8" r="X845"/>
      <c s="8" r="Y845"/>
      <c s="8" r="Z845"/>
      <c s="8" r="AA845"/>
    </row>
    <row r="846">
      <c s="8" r="A846"/>
      <c s="8" r="B846"/>
      <c s="8" r="C846"/>
      <c s="8" r="D846"/>
      <c s="8" r="E846"/>
      <c s="8" r="F846"/>
      <c s="8" r="G846"/>
      <c s="8" r="H846"/>
      <c s="8" r="I846"/>
      <c s="8" r="J846"/>
      <c s="8" r="K846"/>
      <c s="8" r="L846"/>
      <c s="8" r="M846"/>
      <c s="8" r="N846"/>
      <c s="8" r="O846"/>
      <c s="8" r="P846"/>
      <c s="8" r="Q846"/>
      <c s="8" r="R846"/>
      <c s="8" r="S846"/>
      <c s="8" r="T846"/>
      <c s="8" r="U846"/>
      <c s="8" r="V846"/>
      <c s="8" r="W846"/>
      <c s="8" r="X846"/>
      <c s="8" r="Y846"/>
      <c s="8" r="Z846"/>
      <c s="8" r="AA846"/>
    </row>
    <row r="847">
      <c s="8" r="A847"/>
      <c s="8" r="B847"/>
      <c s="8" r="C847"/>
      <c s="8" r="D847"/>
      <c s="8" r="E847"/>
      <c s="8" r="F847"/>
      <c s="8" r="G847"/>
      <c s="8" r="H847"/>
      <c s="8" r="I847"/>
      <c s="8" r="J847"/>
      <c s="8" r="K847"/>
      <c s="8" r="L847"/>
      <c s="8" r="M847"/>
      <c s="8" r="N847"/>
      <c s="8" r="O847"/>
      <c s="8" r="P847"/>
      <c s="8" r="Q847"/>
      <c s="8" r="R847"/>
      <c s="8" r="S847"/>
      <c s="8" r="T847"/>
      <c s="8" r="U847"/>
      <c s="8" r="V847"/>
      <c s="8" r="W847"/>
      <c s="8" r="X847"/>
      <c s="8" r="Y847"/>
      <c s="8" r="Z847"/>
      <c s="8" r="AA847"/>
    </row>
    <row r="848">
      <c s="8" r="A848"/>
      <c s="8" r="B848"/>
      <c s="8" r="C848"/>
      <c s="8" r="D848"/>
      <c s="8" r="E848"/>
      <c s="8" r="F848"/>
      <c s="8" r="G848"/>
      <c s="8" r="H848"/>
      <c s="8" r="I848"/>
      <c s="8" r="J848"/>
      <c s="8" r="K848"/>
      <c s="8" r="L848"/>
      <c s="8" r="M848"/>
      <c s="8" r="N848"/>
      <c s="8" r="O848"/>
      <c s="8" r="P848"/>
      <c s="8" r="Q848"/>
      <c s="8" r="R848"/>
      <c s="8" r="S848"/>
      <c s="8" r="T848"/>
      <c s="8" r="U848"/>
      <c s="8" r="V848"/>
      <c s="8" r="W848"/>
      <c s="8" r="X848"/>
      <c s="8" r="Y848"/>
      <c s="8" r="Z848"/>
      <c s="8" r="AA848"/>
    </row>
    <row r="849">
      <c s="8" r="A849"/>
      <c s="8" r="B849"/>
      <c s="8" r="C849"/>
      <c s="8" r="D849"/>
      <c s="8" r="E849"/>
      <c s="8" r="F849"/>
      <c s="8" r="G849"/>
      <c s="8" r="H849"/>
      <c s="8" r="I849"/>
      <c s="8" r="J849"/>
      <c s="8" r="K849"/>
      <c s="8" r="L849"/>
      <c s="8" r="M849"/>
      <c s="8" r="N849"/>
      <c s="8" r="O849"/>
      <c s="8" r="P849"/>
      <c s="8" r="Q849"/>
      <c s="8" r="R849"/>
      <c s="8" r="S849"/>
      <c s="8" r="T849"/>
      <c s="8" r="U849"/>
      <c s="8" r="V849"/>
      <c s="8" r="W849"/>
      <c s="8" r="X849"/>
      <c s="8" r="Y849"/>
      <c s="8" r="Z849"/>
      <c s="8" r="AA849"/>
    </row>
    <row r="850">
      <c s="8" r="A850"/>
      <c s="8" r="B850"/>
      <c s="8" r="C850"/>
      <c s="8" r="D850"/>
      <c s="8" r="E850"/>
      <c s="8" r="F850"/>
      <c s="8" r="G850"/>
      <c s="8" r="H850"/>
      <c s="8" r="I850"/>
      <c s="8" r="J850"/>
      <c s="8" r="K850"/>
      <c s="8" r="L850"/>
      <c s="8" r="M850"/>
      <c s="8" r="N850"/>
      <c s="8" r="O850"/>
      <c s="8" r="P850"/>
      <c s="8" r="Q850"/>
      <c s="8" r="R850"/>
      <c s="8" r="S850"/>
      <c s="8" r="T850"/>
      <c s="8" r="U850"/>
      <c s="8" r="V850"/>
      <c s="8" r="W850"/>
      <c s="8" r="X850"/>
      <c s="8" r="Y850"/>
      <c s="8" r="Z850"/>
      <c s="8" r="AA850"/>
    </row>
    <row r="851">
      <c s="8" r="A851"/>
      <c s="8" r="B851"/>
      <c s="8" r="C851"/>
      <c s="8" r="D851"/>
      <c s="8" r="E851"/>
      <c s="8" r="F851"/>
      <c s="8" r="G851"/>
      <c s="8" r="H851"/>
      <c s="8" r="I851"/>
      <c s="8" r="J851"/>
      <c s="8" r="K851"/>
      <c s="8" r="L851"/>
      <c s="8" r="M851"/>
      <c s="8" r="N851"/>
      <c s="8" r="O851"/>
      <c s="8" r="P851"/>
      <c s="8" r="Q851"/>
      <c s="8" r="R851"/>
      <c s="8" r="S851"/>
      <c s="8" r="T851"/>
      <c s="8" r="U851"/>
      <c s="8" r="V851"/>
      <c s="8" r="W851"/>
      <c s="8" r="X851"/>
      <c s="8" r="Y851"/>
      <c s="8" r="Z851"/>
      <c s="8" r="AA851"/>
    </row>
    <row r="852">
      <c s="8" r="A852"/>
      <c s="8" r="B852"/>
      <c s="8" r="C852"/>
      <c s="8" r="D852"/>
      <c s="8" r="E852"/>
      <c s="8" r="F852"/>
      <c s="8" r="G852"/>
      <c s="8" r="H852"/>
      <c s="8" r="I852"/>
      <c s="8" r="J852"/>
      <c s="8" r="K852"/>
      <c s="8" r="L852"/>
      <c s="8" r="M852"/>
      <c s="8" r="N852"/>
      <c s="8" r="O852"/>
      <c s="8" r="P852"/>
      <c s="8" r="Q852"/>
      <c s="8" r="R852"/>
      <c s="8" r="S852"/>
      <c s="8" r="T852"/>
      <c s="8" r="U852"/>
      <c s="8" r="V852"/>
      <c s="8" r="W852"/>
      <c s="8" r="X852"/>
      <c s="8" r="Y852"/>
      <c s="8" r="Z852"/>
      <c s="8" r="AA852"/>
    </row>
    <row r="853">
      <c s="8" r="A853"/>
      <c s="8" r="B853"/>
      <c s="8" r="C853"/>
      <c s="8" r="D853"/>
      <c s="8" r="E853"/>
      <c s="8" r="F853"/>
      <c s="8" r="G853"/>
      <c s="8" r="H853"/>
      <c s="8" r="I853"/>
      <c s="8" r="J853"/>
      <c s="8" r="K853"/>
      <c s="8" r="L853"/>
      <c s="8" r="M853"/>
      <c s="8" r="N853"/>
      <c s="8" r="O853"/>
      <c s="8" r="P853"/>
      <c s="8" r="Q853"/>
      <c s="8" r="R853"/>
      <c s="8" r="S853"/>
      <c s="8" r="T853"/>
      <c s="8" r="U853"/>
      <c s="8" r="V853"/>
      <c s="8" r="W853"/>
      <c s="8" r="X853"/>
      <c s="8" r="Y853"/>
      <c s="8" r="Z853"/>
      <c s="8" r="AA853"/>
    </row>
    <row r="854">
      <c s="8" r="A854"/>
      <c s="8" r="B854"/>
      <c s="8" r="C854"/>
      <c s="8" r="D854"/>
      <c s="8" r="E854"/>
      <c s="8" r="F854"/>
      <c s="8" r="G854"/>
      <c s="8" r="H854"/>
      <c s="8" r="I854"/>
      <c s="8" r="J854"/>
      <c s="8" r="K854"/>
      <c s="8" r="L854"/>
      <c s="8" r="M854"/>
      <c s="8" r="N854"/>
      <c s="8" r="O854"/>
      <c s="8" r="P854"/>
      <c s="8" r="Q854"/>
      <c s="8" r="R854"/>
      <c s="8" r="S854"/>
      <c s="8" r="T854"/>
      <c s="8" r="U854"/>
      <c s="8" r="V854"/>
      <c s="8" r="W854"/>
      <c s="8" r="X854"/>
      <c s="8" r="Y854"/>
      <c s="8" r="Z854"/>
      <c s="8" r="AA854"/>
    </row>
    <row r="855">
      <c s="8" r="A855"/>
      <c s="8" r="B855"/>
      <c s="8" r="C855"/>
      <c s="8" r="D855"/>
      <c s="8" r="E855"/>
      <c s="8" r="F855"/>
      <c s="8" r="G855"/>
      <c s="8" r="H855"/>
      <c s="8" r="I855"/>
      <c s="8" r="J855"/>
      <c s="8" r="K855"/>
      <c s="8" r="L855"/>
      <c s="8" r="M855"/>
      <c s="8" r="N855"/>
      <c s="8" r="O855"/>
      <c s="8" r="P855"/>
      <c s="8" r="Q855"/>
      <c s="8" r="R855"/>
      <c s="8" r="S855"/>
      <c s="8" r="T855"/>
      <c s="8" r="U855"/>
      <c s="8" r="V855"/>
      <c s="8" r="W855"/>
      <c s="8" r="X855"/>
      <c s="8" r="Y855"/>
      <c s="8" r="Z855"/>
      <c s="8" r="AA855"/>
    </row>
    <row r="856">
      <c s="8" r="A856"/>
      <c s="8" r="B856"/>
      <c s="8" r="C856"/>
      <c s="8" r="D856"/>
      <c s="8" r="E856"/>
      <c s="8" r="F856"/>
      <c s="8" r="G856"/>
      <c s="8" r="H856"/>
      <c s="8" r="I856"/>
      <c s="8" r="J856"/>
      <c s="8" r="K856"/>
      <c s="8" r="L856"/>
      <c s="8" r="M856"/>
      <c s="8" r="N856"/>
      <c s="8" r="O856"/>
      <c s="8" r="P856"/>
      <c s="8" r="Q856"/>
      <c s="8" r="R856"/>
      <c s="8" r="S856"/>
      <c s="8" r="T856"/>
      <c s="8" r="U856"/>
      <c s="8" r="V856"/>
      <c s="8" r="W856"/>
      <c s="8" r="X856"/>
      <c s="8" r="Y856"/>
      <c s="8" r="Z856"/>
      <c s="8" r="AA856"/>
    </row>
    <row r="857">
      <c s="8" r="A857"/>
      <c s="8" r="B857"/>
      <c s="8" r="C857"/>
      <c s="8" r="D857"/>
      <c s="8" r="E857"/>
      <c s="8" r="F857"/>
      <c s="8" r="G857"/>
      <c s="8" r="H857"/>
      <c s="8" r="I857"/>
      <c s="8" r="J857"/>
      <c s="8" r="K857"/>
      <c s="8" r="L857"/>
      <c s="8" r="M857"/>
      <c s="8" r="N857"/>
      <c s="8" r="O857"/>
      <c s="8" r="P857"/>
      <c s="8" r="Q857"/>
      <c s="8" r="R857"/>
      <c s="8" r="S857"/>
      <c s="8" r="T857"/>
      <c s="8" r="U857"/>
      <c s="8" r="V857"/>
      <c s="8" r="W857"/>
      <c s="8" r="X857"/>
      <c s="8" r="Y857"/>
      <c s="8" r="Z857"/>
      <c s="8" r="AA857"/>
    </row>
    <row r="858">
      <c s="8" r="A858"/>
      <c s="8" r="B858"/>
      <c s="8" r="C858"/>
      <c s="8" r="D858"/>
      <c s="8" r="E858"/>
      <c s="8" r="F858"/>
      <c s="8" r="G858"/>
      <c s="8" r="H858"/>
      <c s="8" r="I858"/>
      <c s="8" r="J858"/>
      <c s="8" r="K858"/>
      <c s="8" r="L858"/>
      <c s="8" r="M858"/>
      <c s="8" r="N858"/>
      <c s="8" r="O858"/>
      <c s="8" r="P858"/>
      <c s="8" r="Q858"/>
      <c s="8" r="R858"/>
      <c s="8" r="S858"/>
      <c s="8" r="T858"/>
      <c s="8" r="U858"/>
      <c s="8" r="V858"/>
      <c s="8" r="W858"/>
      <c s="8" r="X858"/>
      <c s="8" r="Y858"/>
      <c s="8" r="Z858"/>
      <c s="8" r="AA858"/>
    </row>
    <row r="859">
      <c s="8" r="A859"/>
      <c s="8" r="B859"/>
      <c s="8" r="C859"/>
      <c s="8" r="D859"/>
      <c s="8" r="E859"/>
      <c s="8" r="F859"/>
      <c s="8" r="G859"/>
      <c s="8" r="H859"/>
      <c s="8" r="I859"/>
      <c s="8" r="J859"/>
      <c s="8" r="K859"/>
      <c s="8" r="L859"/>
      <c s="8" r="M859"/>
      <c s="8" r="N859"/>
      <c s="8" r="O859"/>
      <c s="8" r="P859"/>
      <c s="8" r="Q859"/>
      <c s="8" r="R859"/>
      <c s="8" r="S859"/>
      <c s="8" r="T859"/>
      <c s="8" r="U859"/>
      <c s="8" r="V859"/>
      <c s="8" r="W859"/>
      <c s="8" r="X859"/>
      <c s="8" r="Y859"/>
      <c s="8" r="Z859"/>
      <c s="8" r="AA859"/>
    </row>
    <row r="860">
      <c s="8" r="A860"/>
      <c s="8" r="B860"/>
      <c s="8" r="C860"/>
      <c s="8" r="D860"/>
      <c s="8" r="E860"/>
      <c s="8" r="F860"/>
      <c s="8" r="G860"/>
      <c s="8" r="H860"/>
      <c s="8" r="I860"/>
      <c s="8" r="J860"/>
      <c s="8" r="K860"/>
      <c s="8" r="L860"/>
      <c s="8" r="M860"/>
      <c s="8" r="N860"/>
      <c s="8" r="O860"/>
      <c s="8" r="P860"/>
      <c s="8" r="Q860"/>
      <c s="8" r="R860"/>
      <c s="8" r="S860"/>
      <c s="8" r="T860"/>
      <c s="8" r="U860"/>
      <c s="8" r="V860"/>
      <c s="8" r="W860"/>
      <c s="8" r="X860"/>
      <c s="8" r="Y860"/>
      <c s="8" r="Z860"/>
      <c s="8" r="AA860"/>
    </row>
    <row r="861">
      <c s="8" r="A861"/>
      <c s="8" r="B861"/>
      <c s="8" r="C861"/>
      <c s="8" r="D861"/>
      <c s="8" r="E861"/>
      <c s="8" r="F861"/>
      <c s="8" r="G861"/>
      <c s="8" r="H861"/>
      <c s="8" r="I861"/>
      <c s="8" r="J861"/>
      <c s="8" r="K861"/>
      <c s="8" r="L861"/>
      <c s="8" r="M861"/>
      <c s="8" r="N861"/>
      <c s="8" r="O861"/>
      <c s="8" r="P861"/>
      <c s="8" r="Q861"/>
      <c s="8" r="R861"/>
      <c s="8" r="S861"/>
      <c s="8" r="T861"/>
      <c s="8" r="U861"/>
      <c s="8" r="V861"/>
      <c s="8" r="W861"/>
      <c s="8" r="X861"/>
      <c s="8" r="Y861"/>
      <c s="8" r="Z861"/>
      <c s="8" r="AA861"/>
    </row>
    <row r="862">
      <c s="8" r="A862"/>
      <c s="8" r="B862"/>
      <c s="8" r="C862"/>
      <c s="8" r="D862"/>
      <c s="8" r="E862"/>
      <c s="8" r="F862"/>
      <c s="8" r="G862"/>
      <c s="8" r="H862"/>
      <c s="8" r="I862"/>
      <c s="8" r="J862"/>
      <c s="8" r="K862"/>
      <c s="8" r="L862"/>
      <c s="8" r="M862"/>
      <c s="8" r="N862"/>
      <c s="8" r="O862"/>
      <c s="8" r="P862"/>
      <c s="8" r="Q862"/>
      <c s="8" r="R862"/>
      <c s="8" r="S862"/>
      <c s="8" r="T862"/>
      <c s="8" r="U862"/>
      <c s="8" r="V862"/>
      <c s="8" r="W862"/>
      <c s="8" r="X862"/>
      <c s="8" r="Y862"/>
      <c s="8" r="Z862"/>
      <c s="8" r="AA862"/>
    </row>
    <row r="863">
      <c s="8" r="A863"/>
      <c s="8" r="B863"/>
      <c s="8" r="C863"/>
      <c s="8" r="D863"/>
      <c s="8" r="E863"/>
      <c s="8" r="F863"/>
      <c s="8" r="G863"/>
      <c s="8" r="H863"/>
      <c s="8" r="I863"/>
      <c s="8" r="J863"/>
      <c s="8" r="K863"/>
      <c s="8" r="L863"/>
      <c s="8" r="M863"/>
      <c s="8" r="N863"/>
      <c s="8" r="O863"/>
      <c s="8" r="P863"/>
      <c s="8" r="Q863"/>
      <c s="8" r="R863"/>
      <c s="8" r="S863"/>
      <c s="8" r="T863"/>
      <c s="8" r="U863"/>
      <c s="8" r="V863"/>
      <c s="8" r="W863"/>
      <c s="8" r="X863"/>
      <c s="8" r="Y863"/>
      <c s="8" r="Z863"/>
      <c s="8" r="AA863"/>
    </row>
    <row r="864">
      <c s="8" r="A864"/>
      <c s="8" r="B864"/>
      <c s="8" r="C864"/>
      <c s="8" r="D864"/>
      <c s="8" r="E864"/>
      <c s="8" r="F864"/>
      <c s="8" r="G864"/>
      <c s="8" r="H864"/>
      <c s="8" r="I864"/>
      <c s="8" r="J864"/>
      <c s="8" r="K864"/>
      <c s="8" r="L864"/>
      <c s="8" r="M864"/>
      <c s="8" r="N864"/>
      <c s="8" r="O864"/>
      <c s="8" r="P864"/>
      <c s="8" r="Q864"/>
      <c s="8" r="R864"/>
      <c s="8" r="S864"/>
      <c s="8" r="T864"/>
      <c s="8" r="U864"/>
      <c s="8" r="V864"/>
      <c s="8" r="W864"/>
      <c s="8" r="X864"/>
      <c s="8" r="Y864"/>
      <c s="8" r="Z864"/>
      <c s="8" r="AA864"/>
    </row>
    <row r="865">
      <c s="8" r="A865"/>
      <c s="8" r="B865"/>
      <c s="8" r="C865"/>
      <c s="8" r="D865"/>
      <c s="8" r="E865"/>
      <c s="8" r="F865"/>
      <c s="8" r="G865"/>
      <c s="8" r="H865"/>
      <c s="8" r="I865"/>
      <c s="8" r="J865"/>
      <c s="8" r="K865"/>
      <c s="8" r="L865"/>
      <c s="8" r="M865"/>
      <c s="8" r="N865"/>
      <c s="8" r="O865"/>
      <c s="8" r="P865"/>
      <c s="8" r="Q865"/>
      <c s="8" r="R865"/>
      <c s="8" r="S865"/>
      <c s="8" r="T865"/>
      <c s="8" r="U865"/>
      <c s="8" r="V865"/>
      <c s="8" r="W865"/>
      <c s="8" r="X865"/>
      <c s="8" r="Y865"/>
      <c s="8" r="Z865"/>
      <c s="8" r="AA865"/>
    </row>
    <row r="866">
      <c s="8" r="A866"/>
      <c s="8" r="B866"/>
      <c s="8" r="C866"/>
      <c s="8" r="D866"/>
      <c s="8" r="E866"/>
      <c s="8" r="F866"/>
      <c s="8" r="G866"/>
      <c s="8" r="H866"/>
      <c s="8" r="I866"/>
      <c s="8" r="J866"/>
      <c s="8" r="K866"/>
      <c s="8" r="L866"/>
      <c s="8" r="M866"/>
      <c s="8" r="N866"/>
      <c s="8" r="O866"/>
      <c s="8" r="P866"/>
      <c s="8" r="Q866"/>
      <c s="8" r="R866"/>
      <c s="8" r="S866"/>
      <c s="8" r="T866"/>
      <c s="8" r="U866"/>
      <c s="8" r="V866"/>
      <c s="8" r="W866"/>
      <c s="8" r="X866"/>
      <c s="8" r="Y866"/>
      <c s="8" r="Z866"/>
      <c s="8" r="AA866"/>
    </row>
    <row r="867">
      <c s="8" r="A867"/>
      <c s="8" r="B867"/>
      <c s="8" r="C867"/>
      <c s="8" r="D867"/>
      <c s="8" r="E867"/>
      <c s="8" r="F867"/>
      <c s="8" r="G867"/>
      <c s="8" r="H867"/>
      <c s="8" r="I867"/>
      <c s="8" r="J867"/>
      <c s="8" r="K867"/>
      <c s="8" r="L867"/>
      <c s="8" r="M867"/>
      <c s="8" r="N867"/>
      <c s="8" r="O867"/>
      <c s="8" r="P867"/>
      <c s="8" r="Q867"/>
      <c s="8" r="R867"/>
      <c s="8" r="S867"/>
      <c s="8" r="T867"/>
      <c s="8" r="U867"/>
      <c s="8" r="V867"/>
      <c s="8" r="W867"/>
      <c s="8" r="X867"/>
      <c s="8" r="Y867"/>
      <c s="8" r="Z867"/>
      <c s="8" r="AA867"/>
    </row>
    <row r="868">
      <c s="8" r="A868"/>
      <c s="8" r="B868"/>
      <c s="8" r="C868"/>
      <c s="8" r="D868"/>
      <c s="8" r="E868"/>
      <c s="8" r="F868"/>
      <c s="8" r="G868"/>
      <c s="8" r="H868"/>
      <c s="8" r="I868"/>
      <c s="8" r="J868"/>
      <c s="8" r="K868"/>
      <c s="8" r="L868"/>
      <c s="8" r="M868"/>
      <c s="8" r="N868"/>
      <c s="8" r="O868"/>
      <c s="8" r="P868"/>
      <c s="8" r="Q868"/>
      <c s="8" r="R868"/>
      <c s="8" r="S868"/>
      <c s="8" r="T868"/>
      <c s="8" r="U868"/>
      <c s="8" r="V868"/>
      <c s="8" r="W868"/>
      <c s="8" r="X868"/>
      <c s="8" r="Y868"/>
      <c s="8" r="Z868"/>
      <c s="8" r="AA868"/>
    </row>
    <row r="869">
      <c s="8" r="A869"/>
      <c s="8" r="B869"/>
      <c s="8" r="C869"/>
      <c s="8" r="D869"/>
      <c s="8" r="E869"/>
      <c s="8" r="F869"/>
      <c s="8" r="G869"/>
      <c s="8" r="H869"/>
      <c s="8" r="I869"/>
      <c s="8" r="J869"/>
      <c s="8" r="K869"/>
      <c s="8" r="L869"/>
      <c s="8" r="M869"/>
      <c s="8" r="N869"/>
      <c s="8" r="O869"/>
      <c s="8" r="P869"/>
      <c s="8" r="Q869"/>
      <c s="8" r="R869"/>
      <c s="8" r="S869"/>
      <c s="8" r="T869"/>
      <c s="8" r="U869"/>
      <c s="8" r="V869"/>
      <c s="8" r="W869"/>
      <c s="8" r="X869"/>
      <c s="8" r="Y869"/>
      <c s="8" r="Z869"/>
      <c s="8" r="AA869"/>
    </row>
    <row r="870">
      <c s="8" r="A870"/>
      <c s="8" r="B870"/>
      <c s="8" r="C870"/>
      <c s="8" r="D870"/>
      <c s="8" r="E870"/>
      <c s="8" r="F870"/>
      <c s="8" r="G870"/>
      <c s="8" r="H870"/>
      <c s="8" r="I870"/>
      <c s="8" r="J870"/>
      <c s="8" r="K870"/>
      <c s="8" r="L870"/>
      <c s="8" r="M870"/>
      <c s="8" r="N870"/>
      <c s="8" r="O870"/>
      <c s="8" r="P870"/>
      <c s="8" r="Q870"/>
      <c s="8" r="R870"/>
      <c s="8" r="S870"/>
      <c s="8" r="T870"/>
      <c s="8" r="U870"/>
      <c s="8" r="V870"/>
      <c s="8" r="W870"/>
      <c s="8" r="X870"/>
      <c s="8" r="Y870"/>
      <c s="8" r="Z870"/>
      <c s="8" r="AA870"/>
    </row>
    <row r="871">
      <c s="8" r="A871"/>
      <c s="8" r="B871"/>
      <c s="8" r="C871"/>
      <c s="8" r="D871"/>
      <c s="8" r="E871"/>
      <c s="8" r="F871"/>
      <c s="8" r="G871"/>
      <c s="8" r="H871"/>
      <c s="8" r="I871"/>
      <c s="8" r="J871"/>
      <c s="8" r="K871"/>
      <c s="8" r="L871"/>
      <c s="8" r="M871"/>
      <c s="8" r="N871"/>
      <c s="8" r="O871"/>
      <c s="8" r="P871"/>
      <c s="8" r="Q871"/>
      <c s="8" r="R871"/>
      <c s="8" r="S871"/>
      <c s="8" r="T871"/>
      <c s="8" r="U871"/>
      <c s="8" r="V871"/>
      <c s="8" r="W871"/>
      <c s="8" r="X871"/>
      <c s="8" r="Y871"/>
      <c s="8" r="Z871"/>
      <c s="8" r="AA871"/>
    </row>
    <row r="872">
      <c s="8" r="A872"/>
      <c s="8" r="B872"/>
      <c s="8" r="C872"/>
      <c s="8" r="D872"/>
      <c s="8" r="E872"/>
      <c s="8" r="F872"/>
      <c s="8" r="G872"/>
      <c s="8" r="H872"/>
      <c s="8" r="I872"/>
      <c s="8" r="J872"/>
      <c s="8" r="K872"/>
      <c s="8" r="L872"/>
      <c s="8" r="M872"/>
      <c s="8" r="N872"/>
      <c s="8" r="O872"/>
      <c s="8" r="P872"/>
      <c s="8" r="Q872"/>
      <c s="8" r="R872"/>
      <c s="8" r="S872"/>
      <c s="8" r="T872"/>
      <c s="8" r="U872"/>
      <c s="8" r="V872"/>
      <c s="8" r="W872"/>
      <c s="8" r="X872"/>
      <c s="8" r="Y872"/>
      <c s="8" r="Z872"/>
      <c s="8" r="AA872"/>
    </row>
    <row r="873">
      <c s="8" r="A873"/>
      <c s="8" r="B873"/>
      <c s="8" r="C873"/>
      <c s="8" r="D873"/>
      <c s="8" r="E873"/>
      <c s="8" r="F873"/>
      <c s="8" r="G873"/>
      <c s="8" r="H873"/>
      <c s="8" r="I873"/>
      <c s="8" r="J873"/>
      <c s="8" r="K873"/>
      <c s="8" r="L873"/>
      <c s="8" r="M873"/>
      <c s="8" r="N873"/>
      <c s="8" r="O873"/>
      <c s="8" r="P873"/>
      <c s="8" r="Q873"/>
      <c s="8" r="R873"/>
      <c s="8" r="S873"/>
      <c s="8" r="T873"/>
      <c s="8" r="U873"/>
      <c s="8" r="V873"/>
      <c s="8" r="W873"/>
      <c s="8" r="X873"/>
      <c s="8" r="Y873"/>
      <c s="8" r="Z873"/>
      <c s="8" r="AA873"/>
    </row>
    <row r="874">
      <c s="8" r="A874"/>
      <c s="8" r="B874"/>
      <c s="8" r="C874"/>
      <c s="8" r="D874"/>
      <c s="8" r="E874"/>
      <c s="8" r="F874"/>
      <c s="8" r="G874"/>
      <c s="8" r="H874"/>
      <c s="8" r="I874"/>
      <c s="8" r="J874"/>
      <c s="8" r="K874"/>
      <c s="8" r="L874"/>
      <c s="8" r="M874"/>
      <c s="8" r="N874"/>
      <c s="8" r="O874"/>
      <c s="8" r="P874"/>
      <c s="8" r="Q874"/>
      <c s="8" r="R874"/>
      <c s="8" r="S874"/>
      <c s="8" r="T874"/>
      <c s="8" r="U874"/>
      <c s="8" r="V874"/>
      <c s="8" r="W874"/>
      <c s="8" r="X874"/>
      <c s="8" r="Y874"/>
      <c s="8" r="Z874"/>
      <c s="8" r="AA874"/>
    </row>
    <row r="875">
      <c s="8" r="A875"/>
      <c s="8" r="B875"/>
      <c s="8" r="C875"/>
      <c s="8" r="D875"/>
      <c s="8" r="E875"/>
      <c s="8" r="F875"/>
      <c s="8" r="G875"/>
      <c s="8" r="H875"/>
      <c s="8" r="I875"/>
      <c s="8" r="J875"/>
      <c s="8" r="K875"/>
      <c s="8" r="L875"/>
      <c s="8" r="M875"/>
      <c s="8" r="N875"/>
      <c s="8" r="O875"/>
      <c s="8" r="P875"/>
      <c s="8" r="Q875"/>
      <c s="8" r="R875"/>
      <c s="8" r="S875"/>
      <c s="8" r="T875"/>
      <c s="8" r="U875"/>
      <c s="8" r="V875"/>
      <c s="8" r="W875"/>
      <c s="8" r="X875"/>
      <c s="8" r="Y875"/>
      <c s="8" r="Z875"/>
      <c s="8" r="AA875"/>
    </row>
    <row r="876">
      <c s="8" r="A876"/>
      <c s="8" r="B876"/>
      <c s="8" r="C876"/>
      <c s="8" r="D876"/>
      <c s="8" r="E876"/>
      <c s="8" r="F876"/>
      <c s="8" r="G876"/>
      <c s="8" r="H876"/>
      <c s="8" r="I876"/>
      <c s="8" r="J876"/>
      <c s="8" r="K876"/>
      <c s="8" r="L876"/>
      <c s="8" r="M876"/>
      <c s="8" r="N876"/>
      <c s="8" r="O876"/>
      <c s="8" r="P876"/>
      <c s="8" r="Q876"/>
      <c s="8" r="R876"/>
      <c s="8" r="S876"/>
      <c s="8" r="T876"/>
      <c s="8" r="U876"/>
      <c s="8" r="V876"/>
      <c s="8" r="W876"/>
      <c s="8" r="X876"/>
      <c s="8" r="Y876"/>
      <c s="8" r="Z876"/>
      <c s="8" r="AA876"/>
    </row>
    <row r="877">
      <c s="8" r="A877"/>
      <c s="8" r="B877"/>
      <c s="8" r="C877"/>
      <c s="8" r="D877"/>
      <c s="8" r="E877"/>
      <c s="8" r="F877"/>
      <c s="8" r="G877"/>
      <c s="8" r="H877"/>
      <c s="8" r="I877"/>
      <c s="8" r="J877"/>
      <c s="8" r="K877"/>
      <c s="8" r="L877"/>
      <c s="8" r="M877"/>
      <c s="8" r="N877"/>
      <c s="8" r="O877"/>
      <c s="8" r="P877"/>
      <c s="8" r="Q877"/>
      <c s="8" r="R877"/>
      <c s="8" r="S877"/>
      <c s="8" r="T877"/>
      <c s="8" r="U877"/>
      <c s="8" r="V877"/>
      <c s="8" r="W877"/>
      <c s="8" r="X877"/>
      <c s="8" r="Y877"/>
      <c s="8" r="Z877"/>
      <c s="8" r="AA877"/>
    </row>
    <row r="878">
      <c s="8" r="A878"/>
      <c s="8" r="B878"/>
      <c s="8" r="C878"/>
      <c s="8" r="D878"/>
      <c s="8" r="E878"/>
      <c s="8" r="F878"/>
      <c s="8" r="G878"/>
      <c s="8" r="H878"/>
      <c s="8" r="I878"/>
      <c s="8" r="J878"/>
      <c s="8" r="K878"/>
      <c s="8" r="L878"/>
      <c s="8" r="M878"/>
      <c s="8" r="N878"/>
      <c s="8" r="O878"/>
      <c s="8" r="P878"/>
      <c s="8" r="Q878"/>
      <c s="8" r="R878"/>
      <c s="8" r="S878"/>
      <c s="8" r="T878"/>
      <c s="8" r="U878"/>
      <c s="8" r="V878"/>
      <c s="8" r="W878"/>
      <c s="8" r="X878"/>
      <c s="8" r="Y878"/>
      <c s="8" r="Z878"/>
      <c s="8" r="AA878"/>
    </row>
    <row r="879">
      <c s="8" r="A879"/>
      <c s="8" r="B879"/>
      <c s="8" r="C879"/>
      <c s="8" r="D879"/>
      <c s="8" r="E879"/>
      <c s="8" r="F879"/>
      <c s="8" r="G879"/>
      <c s="8" r="H879"/>
      <c s="8" r="I879"/>
      <c s="8" r="J879"/>
      <c s="8" r="K879"/>
      <c s="8" r="L879"/>
      <c s="8" r="M879"/>
      <c s="8" r="N879"/>
      <c s="8" r="O879"/>
      <c s="8" r="P879"/>
      <c s="8" r="Q879"/>
      <c s="8" r="R879"/>
      <c s="8" r="S879"/>
      <c s="8" r="T879"/>
      <c s="8" r="U879"/>
      <c s="8" r="V879"/>
      <c s="8" r="W879"/>
      <c s="8" r="X879"/>
      <c s="8" r="Y879"/>
      <c s="8" r="Z879"/>
      <c s="8" r="AA879"/>
    </row>
    <row r="880">
      <c s="8" r="A880"/>
      <c s="8" r="B880"/>
      <c s="8" r="C880"/>
      <c s="8" r="D880"/>
      <c s="8" r="E880"/>
      <c s="8" r="F880"/>
      <c s="8" r="G880"/>
      <c s="8" r="H880"/>
      <c s="8" r="I880"/>
      <c s="8" r="J880"/>
      <c s="8" r="K880"/>
      <c s="8" r="L880"/>
      <c s="8" r="M880"/>
      <c s="8" r="N880"/>
      <c s="8" r="O880"/>
      <c s="8" r="P880"/>
      <c s="8" r="Q880"/>
      <c s="8" r="R880"/>
      <c s="8" r="S880"/>
      <c s="8" r="T880"/>
      <c s="8" r="U880"/>
      <c s="8" r="V880"/>
      <c s="8" r="W880"/>
      <c s="8" r="X880"/>
      <c s="8" r="Y880"/>
      <c s="8" r="Z880"/>
      <c s="8" r="AA880"/>
    </row>
    <row r="881">
      <c s="8" r="A881"/>
      <c s="8" r="B881"/>
      <c s="8" r="C881"/>
      <c s="8" r="D881"/>
      <c s="8" r="E881"/>
      <c s="8" r="F881"/>
      <c s="8" r="G881"/>
      <c s="8" r="H881"/>
      <c s="8" r="I881"/>
      <c s="8" r="J881"/>
      <c s="8" r="K881"/>
      <c s="8" r="L881"/>
      <c s="8" r="M881"/>
      <c s="8" r="N881"/>
      <c s="8" r="O881"/>
      <c s="8" r="P881"/>
      <c s="8" r="Q881"/>
      <c s="8" r="R881"/>
      <c s="8" r="S881"/>
      <c s="8" r="T881"/>
      <c s="8" r="U881"/>
      <c s="8" r="V881"/>
      <c s="8" r="W881"/>
      <c s="8" r="X881"/>
      <c s="8" r="Y881"/>
      <c s="8" r="Z881"/>
      <c s="8" r="AA881"/>
    </row>
    <row r="882">
      <c s="8" r="A882"/>
      <c s="8" r="B882"/>
      <c s="8" r="C882"/>
      <c s="8" r="D882"/>
      <c s="8" r="E882"/>
      <c s="8" r="F882"/>
      <c s="8" r="G882"/>
      <c s="8" r="H882"/>
      <c s="8" r="I882"/>
      <c s="8" r="J882"/>
      <c s="8" r="K882"/>
      <c s="8" r="L882"/>
      <c s="8" r="M882"/>
      <c s="8" r="N882"/>
      <c s="8" r="O882"/>
      <c s="8" r="P882"/>
      <c s="8" r="Q882"/>
      <c s="8" r="R882"/>
      <c s="8" r="S882"/>
      <c s="8" r="T882"/>
      <c s="8" r="U882"/>
      <c s="8" r="V882"/>
      <c s="8" r="W882"/>
      <c s="8" r="X882"/>
      <c s="8" r="Y882"/>
      <c s="8" r="Z882"/>
      <c s="8" r="AA882"/>
    </row>
    <row r="883">
      <c s="8" r="A883"/>
      <c s="8" r="B883"/>
      <c s="8" r="C883"/>
      <c s="8" r="D883"/>
      <c s="8" r="E883"/>
      <c s="8" r="F883"/>
      <c s="8" r="G883"/>
      <c s="8" r="H883"/>
      <c s="8" r="I883"/>
      <c s="8" r="J883"/>
      <c s="8" r="K883"/>
      <c s="8" r="L883"/>
      <c s="8" r="M883"/>
      <c s="8" r="N883"/>
      <c s="8" r="O883"/>
      <c s="8" r="P883"/>
      <c s="8" r="Q883"/>
      <c s="8" r="R883"/>
      <c s="8" r="S883"/>
      <c s="8" r="T883"/>
      <c s="8" r="U883"/>
      <c s="8" r="V883"/>
      <c s="8" r="W883"/>
      <c s="8" r="X883"/>
      <c s="8" r="Y883"/>
      <c s="8" r="Z883"/>
      <c s="8" r="AA883"/>
    </row>
    <row r="884">
      <c s="8" r="A884"/>
      <c s="8" r="B884"/>
      <c s="8" r="C884"/>
      <c s="8" r="D884"/>
      <c s="8" r="E884"/>
      <c s="8" r="F884"/>
      <c s="8" r="G884"/>
      <c s="8" r="H884"/>
      <c s="8" r="I884"/>
      <c s="8" r="J884"/>
      <c s="8" r="K884"/>
      <c s="8" r="L884"/>
      <c s="8" r="M884"/>
      <c s="8" r="N884"/>
      <c s="8" r="O884"/>
      <c s="8" r="P884"/>
      <c s="8" r="Q884"/>
      <c s="8" r="R884"/>
      <c s="8" r="S884"/>
      <c s="8" r="T884"/>
      <c s="8" r="U884"/>
      <c s="8" r="V884"/>
      <c s="8" r="W884"/>
      <c s="8" r="X884"/>
      <c s="8" r="Y884"/>
      <c s="8" r="Z884"/>
      <c s="8" r="AA884"/>
    </row>
    <row r="885">
      <c s="8" r="A885"/>
      <c s="8" r="B885"/>
      <c s="8" r="C885"/>
      <c s="8" r="D885"/>
      <c s="8" r="E885"/>
      <c s="8" r="F885"/>
      <c s="8" r="G885"/>
      <c s="8" r="H885"/>
      <c s="8" r="I885"/>
      <c s="8" r="J885"/>
      <c s="8" r="K885"/>
      <c s="8" r="L885"/>
      <c s="8" r="M885"/>
      <c s="8" r="N885"/>
      <c s="8" r="O885"/>
      <c s="8" r="P885"/>
      <c s="8" r="Q885"/>
      <c s="8" r="R885"/>
      <c s="8" r="S885"/>
      <c s="8" r="T885"/>
      <c s="8" r="U885"/>
      <c s="8" r="V885"/>
      <c s="8" r="W885"/>
      <c s="8" r="X885"/>
      <c s="8" r="Y885"/>
      <c s="8" r="Z885"/>
      <c s="8" r="AA885"/>
    </row>
    <row r="886">
      <c s="8" r="A886"/>
      <c s="8" r="B886"/>
      <c s="8" r="C886"/>
      <c s="8" r="D886"/>
      <c s="8" r="E886"/>
      <c s="8" r="F886"/>
      <c s="8" r="G886"/>
      <c s="8" r="H886"/>
      <c s="8" r="I886"/>
      <c s="8" r="J886"/>
      <c s="8" r="K886"/>
      <c s="8" r="L886"/>
      <c s="8" r="M886"/>
      <c s="8" r="N886"/>
      <c s="8" r="O886"/>
      <c s="8" r="P886"/>
      <c s="8" r="Q886"/>
      <c s="8" r="R886"/>
      <c s="8" r="S886"/>
      <c s="8" r="T886"/>
      <c s="8" r="U886"/>
      <c s="8" r="V886"/>
      <c s="8" r="W886"/>
      <c s="8" r="X886"/>
      <c s="8" r="Y886"/>
      <c s="8" r="Z886"/>
      <c s="8" r="AA886"/>
    </row>
    <row r="887">
      <c s="8" r="A887"/>
      <c s="8" r="B887"/>
      <c s="8" r="C887"/>
      <c s="8" r="D887"/>
      <c s="8" r="E887"/>
      <c s="8" r="F887"/>
      <c s="8" r="G887"/>
      <c s="8" r="H887"/>
      <c s="8" r="I887"/>
      <c s="8" r="J887"/>
      <c s="8" r="K887"/>
      <c s="8" r="L887"/>
      <c s="8" r="M887"/>
      <c s="8" r="N887"/>
      <c s="8" r="O887"/>
      <c s="8" r="P887"/>
      <c s="8" r="Q887"/>
      <c s="8" r="R887"/>
      <c s="8" r="S887"/>
      <c s="8" r="T887"/>
      <c s="8" r="U887"/>
      <c s="8" r="V887"/>
      <c s="8" r="W887"/>
      <c s="8" r="X887"/>
      <c s="8" r="Y887"/>
      <c s="8" r="Z887"/>
      <c s="8" r="AA887"/>
    </row>
    <row r="888">
      <c s="8" r="A888"/>
      <c s="8" r="B888"/>
      <c s="8" r="C888"/>
      <c s="8" r="D888"/>
      <c s="8" r="E888"/>
      <c s="8" r="F888"/>
      <c s="8" r="G888"/>
      <c s="8" r="H888"/>
      <c s="8" r="I888"/>
      <c s="8" r="J888"/>
      <c s="8" r="K888"/>
      <c s="8" r="L888"/>
      <c s="8" r="M888"/>
      <c s="8" r="N888"/>
      <c s="8" r="O888"/>
      <c s="8" r="P888"/>
      <c s="8" r="Q888"/>
      <c s="8" r="R888"/>
      <c s="8" r="S888"/>
      <c s="8" r="T888"/>
      <c s="8" r="U888"/>
      <c s="8" r="V888"/>
      <c s="8" r="W888"/>
      <c s="8" r="X888"/>
      <c s="8" r="Y888"/>
      <c s="8" r="Z888"/>
      <c s="8" r="AA888"/>
    </row>
    <row r="889">
      <c s="8" r="A889"/>
      <c s="8" r="B889"/>
      <c s="8" r="C889"/>
      <c s="8" r="D889"/>
      <c s="8" r="E889"/>
      <c s="8" r="F889"/>
      <c s="8" r="G889"/>
      <c s="8" r="H889"/>
      <c s="8" r="I889"/>
      <c s="8" r="J889"/>
      <c s="8" r="K889"/>
      <c s="8" r="L889"/>
      <c s="8" r="M889"/>
      <c s="8" r="N889"/>
      <c s="8" r="O889"/>
      <c s="8" r="P889"/>
      <c s="8" r="Q889"/>
      <c s="8" r="R889"/>
      <c s="8" r="S889"/>
      <c s="8" r="T889"/>
      <c s="8" r="U889"/>
      <c s="8" r="V889"/>
      <c s="8" r="W889"/>
      <c s="8" r="X889"/>
      <c s="8" r="Y889"/>
      <c s="8" r="Z889"/>
      <c s="8" r="AA889"/>
    </row>
    <row r="890">
      <c s="8" r="A890"/>
      <c s="8" r="B890"/>
      <c s="8" r="C890"/>
      <c s="8" r="D890"/>
      <c s="8" r="E890"/>
      <c s="8" r="F890"/>
      <c s="8" r="G890"/>
      <c s="8" r="H890"/>
      <c s="8" r="I890"/>
      <c s="8" r="J890"/>
      <c s="8" r="K890"/>
      <c s="8" r="L890"/>
      <c s="8" r="M890"/>
      <c s="8" r="N890"/>
      <c s="8" r="O890"/>
      <c s="8" r="P890"/>
      <c s="8" r="Q890"/>
      <c s="8" r="R890"/>
      <c s="8" r="S890"/>
      <c s="8" r="T890"/>
      <c s="8" r="U890"/>
      <c s="8" r="V890"/>
      <c s="8" r="W890"/>
      <c s="8" r="X890"/>
      <c s="8" r="Y890"/>
      <c s="8" r="Z890"/>
      <c s="8" r="AA890"/>
    </row>
    <row r="891">
      <c s="8" r="A891"/>
      <c s="8" r="B891"/>
      <c s="8" r="C891"/>
      <c s="8" r="D891"/>
      <c s="8" r="E891"/>
      <c s="8" r="F891"/>
      <c s="8" r="G891"/>
      <c s="8" r="H891"/>
      <c s="8" r="I891"/>
      <c s="8" r="J891"/>
      <c s="8" r="K891"/>
      <c s="8" r="L891"/>
      <c s="8" r="M891"/>
      <c s="8" r="N891"/>
      <c s="8" r="O891"/>
      <c s="8" r="P891"/>
      <c s="8" r="Q891"/>
      <c s="8" r="R891"/>
      <c s="8" r="S891"/>
      <c s="8" r="T891"/>
      <c s="8" r="U891"/>
      <c s="8" r="V891"/>
      <c s="8" r="W891"/>
      <c s="8" r="X891"/>
      <c s="8" r="Y891"/>
      <c s="8" r="Z891"/>
      <c s="8" r="AA891"/>
    </row>
    <row r="892">
      <c s="8" r="A892"/>
      <c s="8" r="B892"/>
      <c s="8" r="C892"/>
      <c s="8" r="D892"/>
      <c s="8" r="E892"/>
      <c s="8" r="F892"/>
      <c s="8" r="G892"/>
      <c s="8" r="H892"/>
      <c s="8" r="I892"/>
      <c s="8" r="J892"/>
      <c s="8" r="K892"/>
      <c s="8" r="L892"/>
      <c s="8" r="M892"/>
      <c s="8" r="N892"/>
      <c s="8" r="O892"/>
      <c s="8" r="P892"/>
      <c s="8" r="Q892"/>
      <c s="8" r="R892"/>
      <c s="8" r="S892"/>
      <c s="8" r="T892"/>
      <c s="8" r="U892"/>
      <c s="8" r="V892"/>
      <c s="8" r="W892"/>
      <c s="8" r="X892"/>
      <c s="8" r="Y892"/>
      <c s="8" r="Z892"/>
      <c s="8" r="AA892"/>
    </row>
    <row r="893">
      <c s="8" r="A893"/>
      <c s="8" r="B893"/>
      <c s="8" r="C893"/>
      <c s="8" r="D893"/>
      <c s="8" r="E893"/>
      <c s="8" r="F893"/>
      <c s="8" r="G893"/>
      <c s="8" r="H893"/>
      <c s="8" r="I893"/>
      <c s="8" r="J893"/>
      <c s="8" r="K893"/>
      <c s="8" r="L893"/>
      <c s="8" r="M893"/>
      <c s="8" r="N893"/>
      <c s="8" r="O893"/>
      <c s="8" r="P893"/>
      <c s="8" r="Q893"/>
      <c s="8" r="R893"/>
      <c s="8" r="S893"/>
      <c s="8" r="T893"/>
      <c s="8" r="U893"/>
      <c s="8" r="V893"/>
      <c s="8" r="W893"/>
      <c s="8" r="X893"/>
      <c s="8" r="Y893"/>
      <c s="8" r="Z893"/>
      <c s="8" r="AA893"/>
    </row>
    <row r="894">
      <c s="8" r="A894"/>
      <c s="8" r="B894"/>
      <c s="8" r="C894"/>
      <c s="8" r="D894"/>
      <c s="8" r="E894"/>
      <c s="8" r="F894"/>
      <c s="8" r="G894"/>
      <c s="8" r="H894"/>
      <c s="8" r="I894"/>
      <c s="8" r="J894"/>
      <c s="8" r="K894"/>
      <c s="8" r="L894"/>
      <c s="8" r="M894"/>
      <c s="8" r="N894"/>
      <c s="8" r="O894"/>
      <c s="8" r="P894"/>
      <c s="8" r="Q894"/>
      <c s="8" r="R894"/>
      <c s="8" r="S894"/>
      <c s="8" r="T894"/>
      <c s="8" r="U894"/>
      <c s="8" r="V894"/>
      <c s="8" r="W894"/>
      <c s="8" r="X894"/>
      <c s="8" r="Y894"/>
      <c s="8" r="Z894"/>
      <c s="8" r="AA894"/>
    </row>
    <row r="895">
      <c s="8" r="A895"/>
      <c s="8" r="B895"/>
      <c s="8" r="C895"/>
      <c s="8" r="D895"/>
      <c s="8" r="E895"/>
      <c s="8" r="F895"/>
      <c s="8" r="G895"/>
      <c s="8" r="H895"/>
      <c s="8" r="I895"/>
      <c s="8" r="J895"/>
      <c s="8" r="K895"/>
      <c s="8" r="L895"/>
      <c s="8" r="M895"/>
      <c s="8" r="N895"/>
      <c s="8" r="O895"/>
      <c s="8" r="P895"/>
      <c s="8" r="Q895"/>
      <c s="8" r="R895"/>
      <c s="8" r="S895"/>
      <c s="8" r="T895"/>
      <c s="8" r="U895"/>
      <c s="8" r="V895"/>
      <c s="8" r="W895"/>
      <c s="8" r="X895"/>
      <c s="8" r="Y895"/>
      <c s="8" r="Z895"/>
      <c s="8" r="AA895"/>
    </row>
    <row r="896">
      <c s="8" r="A896"/>
      <c s="8" r="B896"/>
      <c s="8" r="C896"/>
      <c s="8" r="D896"/>
      <c s="8" r="E896"/>
      <c s="8" r="F896"/>
      <c s="8" r="G896"/>
      <c s="8" r="H896"/>
      <c s="8" r="I896"/>
      <c s="8" r="J896"/>
      <c s="8" r="K896"/>
      <c s="8" r="L896"/>
      <c s="8" r="M896"/>
      <c s="8" r="N896"/>
      <c s="8" r="O896"/>
      <c s="8" r="P896"/>
      <c s="8" r="Q896"/>
      <c s="8" r="R896"/>
      <c s="8" r="S896"/>
      <c s="8" r="T896"/>
      <c s="8" r="U896"/>
      <c s="8" r="V896"/>
      <c s="8" r="W896"/>
      <c s="8" r="X896"/>
      <c s="8" r="Y896"/>
      <c s="8" r="Z896"/>
      <c s="8" r="AA896"/>
    </row>
    <row r="897">
      <c s="8" r="A897"/>
      <c s="8" r="B897"/>
      <c s="8" r="C897"/>
      <c s="8" r="D897"/>
      <c s="8" r="E897"/>
      <c s="8" r="F897"/>
      <c s="8" r="G897"/>
      <c s="8" r="H897"/>
      <c s="8" r="I897"/>
      <c s="8" r="J897"/>
      <c s="8" r="K897"/>
      <c s="8" r="L897"/>
      <c s="8" r="M897"/>
      <c s="8" r="N897"/>
      <c s="8" r="O897"/>
      <c s="8" r="P897"/>
      <c s="8" r="Q897"/>
      <c s="8" r="R897"/>
      <c s="8" r="S897"/>
      <c s="8" r="T897"/>
      <c s="8" r="U897"/>
      <c s="8" r="V897"/>
      <c s="8" r="W897"/>
      <c s="8" r="X897"/>
      <c s="8" r="Y897"/>
      <c s="8" r="Z897"/>
      <c s="8" r="AA897"/>
    </row>
    <row r="898">
      <c s="8" r="A898"/>
      <c s="8" r="B898"/>
      <c s="8" r="C898"/>
      <c s="8" r="D898"/>
      <c s="8" r="E898"/>
      <c s="8" r="F898"/>
      <c s="8" r="G898"/>
      <c s="8" r="H898"/>
      <c s="8" r="I898"/>
      <c s="8" r="J898"/>
      <c s="8" r="K898"/>
      <c s="8" r="L898"/>
      <c s="8" r="M898"/>
      <c s="8" r="N898"/>
      <c s="8" r="O898"/>
      <c s="8" r="P898"/>
      <c s="8" r="Q898"/>
      <c s="8" r="R898"/>
      <c s="8" r="S898"/>
      <c s="8" r="T898"/>
      <c s="8" r="U898"/>
      <c s="8" r="V898"/>
      <c s="8" r="W898"/>
      <c s="8" r="X898"/>
      <c s="8" r="Y898"/>
      <c s="8" r="Z898"/>
      <c s="8" r="AA898"/>
    </row>
    <row r="899">
      <c s="8" r="A899"/>
      <c s="8" r="B899"/>
      <c s="8" r="C899"/>
      <c s="8" r="D899"/>
      <c s="8" r="E899"/>
      <c s="8" r="F899"/>
      <c s="8" r="G899"/>
      <c s="8" r="H899"/>
      <c s="8" r="I899"/>
      <c s="8" r="J899"/>
      <c s="8" r="K899"/>
      <c s="8" r="L899"/>
      <c s="8" r="M899"/>
      <c s="8" r="N899"/>
      <c s="8" r="O899"/>
      <c s="8" r="P899"/>
      <c s="8" r="Q899"/>
      <c s="8" r="R899"/>
      <c s="8" r="S899"/>
      <c s="8" r="T899"/>
      <c s="8" r="U899"/>
      <c s="8" r="V899"/>
      <c s="8" r="W899"/>
      <c s="8" r="X899"/>
      <c s="8" r="Y899"/>
      <c s="8" r="Z899"/>
      <c s="8" r="AA899"/>
    </row>
    <row r="900">
      <c s="8" r="A900"/>
      <c s="8" r="B900"/>
      <c s="8" r="C900"/>
      <c s="8" r="D900"/>
      <c s="8" r="E900"/>
      <c s="8" r="F900"/>
      <c s="8" r="G900"/>
      <c s="8" r="H900"/>
      <c s="8" r="I900"/>
      <c s="8" r="J900"/>
      <c s="8" r="K900"/>
      <c s="8" r="L900"/>
      <c s="8" r="M900"/>
      <c s="8" r="N900"/>
      <c s="8" r="O900"/>
      <c s="8" r="P900"/>
      <c s="8" r="Q900"/>
      <c s="8" r="R900"/>
      <c s="8" r="S900"/>
      <c s="8" r="T900"/>
      <c s="8" r="U900"/>
      <c s="8" r="V900"/>
      <c s="8" r="W900"/>
      <c s="8" r="X900"/>
      <c s="8" r="Y900"/>
      <c s="8" r="Z900"/>
      <c s="8" r="AA900"/>
    </row>
    <row r="901">
      <c s="8" r="A901"/>
      <c s="8" r="B901"/>
      <c s="8" r="C901"/>
      <c s="8" r="D901"/>
      <c s="8" r="E901"/>
      <c s="8" r="F901"/>
      <c s="8" r="G901"/>
      <c s="8" r="H901"/>
      <c s="8" r="I901"/>
      <c s="8" r="J901"/>
      <c s="8" r="K901"/>
      <c s="8" r="L901"/>
      <c s="8" r="M901"/>
      <c s="8" r="N901"/>
      <c s="8" r="O901"/>
      <c s="8" r="P901"/>
      <c s="8" r="Q901"/>
      <c s="8" r="R901"/>
      <c s="8" r="S901"/>
      <c s="8" r="T901"/>
      <c s="8" r="U901"/>
      <c s="8" r="V901"/>
      <c s="8" r="W901"/>
      <c s="8" r="X901"/>
      <c s="8" r="Y901"/>
      <c s="8" r="Z901"/>
      <c s="8" r="AA901"/>
    </row>
    <row r="902">
      <c s="8" r="A902"/>
      <c s="8" r="B902"/>
      <c s="8" r="C902"/>
      <c s="8" r="D902"/>
      <c s="8" r="E902"/>
      <c s="8" r="F902"/>
      <c s="8" r="G902"/>
      <c s="8" r="H902"/>
      <c s="8" r="I902"/>
      <c s="8" r="J902"/>
      <c s="8" r="K902"/>
      <c s="8" r="L902"/>
      <c s="8" r="M902"/>
      <c s="8" r="N902"/>
      <c s="8" r="O902"/>
      <c s="8" r="P902"/>
      <c s="8" r="Q902"/>
      <c s="8" r="R902"/>
      <c s="8" r="S902"/>
      <c s="8" r="T902"/>
      <c s="8" r="U902"/>
      <c s="8" r="V902"/>
      <c s="8" r="W902"/>
      <c s="8" r="X902"/>
      <c s="8" r="Y902"/>
      <c s="8" r="Z902"/>
      <c s="8" r="AA902"/>
    </row>
    <row r="903">
      <c s="8" r="A903"/>
      <c s="8" r="B903"/>
      <c s="8" r="C903"/>
      <c s="8" r="D903"/>
      <c s="8" r="E903"/>
      <c s="8" r="F903"/>
      <c s="8" r="G903"/>
      <c s="8" r="H903"/>
      <c s="8" r="I903"/>
      <c s="8" r="J903"/>
      <c s="8" r="K903"/>
      <c s="8" r="L903"/>
      <c s="8" r="M903"/>
      <c s="8" r="N903"/>
      <c s="8" r="O903"/>
      <c s="8" r="P903"/>
      <c s="8" r="Q903"/>
      <c s="8" r="R903"/>
      <c s="8" r="S903"/>
      <c s="8" r="T903"/>
      <c s="8" r="U903"/>
      <c s="8" r="V903"/>
      <c s="8" r="W903"/>
      <c s="8" r="X903"/>
      <c s="8" r="Y903"/>
      <c s="8" r="Z903"/>
      <c s="8" r="AA903"/>
    </row>
    <row r="904">
      <c s="8" r="A904"/>
      <c s="8" r="B904"/>
      <c s="8" r="C904"/>
      <c s="8" r="D904"/>
      <c s="8" r="E904"/>
      <c s="8" r="F904"/>
      <c s="8" r="G904"/>
      <c s="8" r="H904"/>
      <c s="8" r="I904"/>
      <c s="8" r="J904"/>
      <c s="8" r="K904"/>
      <c s="8" r="L904"/>
      <c s="8" r="M904"/>
      <c s="8" r="N904"/>
      <c s="8" r="O904"/>
      <c s="8" r="P904"/>
      <c s="8" r="Q904"/>
      <c s="8" r="R904"/>
      <c s="8" r="S904"/>
      <c s="8" r="T904"/>
      <c s="8" r="U904"/>
      <c s="8" r="V904"/>
      <c s="8" r="W904"/>
      <c s="8" r="X904"/>
      <c s="8" r="Y904"/>
      <c s="8" r="Z904"/>
      <c s="8" r="AA904"/>
    </row>
    <row r="905">
      <c s="8" r="A905"/>
      <c s="8" r="B905"/>
      <c s="8" r="C905"/>
      <c s="8" r="D905"/>
      <c s="8" r="E905"/>
      <c s="8" r="F905"/>
      <c s="8" r="G905"/>
      <c s="8" r="H905"/>
      <c s="8" r="I905"/>
      <c s="8" r="J905"/>
      <c s="8" r="K905"/>
      <c s="8" r="L905"/>
      <c s="8" r="M905"/>
      <c s="8" r="N905"/>
      <c s="8" r="O905"/>
      <c s="8" r="P905"/>
      <c s="8" r="Q905"/>
      <c s="8" r="R905"/>
      <c s="8" r="S905"/>
      <c s="8" r="T905"/>
      <c s="8" r="U905"/>
      <c s="8" r="V905"/>
      <c s="8" r="W905"/>
      <c s="8" r="X905"/>
      <c s="8" r="Y905"/>
      <c s="8" r="Z905"/>
      <c s="8" r="AA905"/>
    </row>
    <row r="906">
      <c s="8" r="A906"/>
      <c s="8" r="B906"/>
      <c s="8" r="C906"/>
      <c s="8" r="D906"/>
      <c s="8" r="E906"/>
      <c s="8" r="F906"/>
      <c s="8" r="G906"/>
      <c s="8" r="H906"/>
      <c s="8" r="I906"/>
      <c s="8" r="J906"/>
      <c s="8" r="K906"/>
      <c s="8" r="L906"/>
      <c s="8" r="M906"/>
      <c s="8" r="N906"/>
      <c s="8" r="O906"/>
      <c s="8" r="P906"/>
      <c s="8" r="Q906"/>
      <c s="8" r="R906"/>
      <c s="8" r="S906"/>
      <c s="8" r="T906"/>
      <c s="8" r="U906"/>
      <c s="8" r="V906"/>
      <c s="8" r="W906"/>
      <c s="8" r="X906"/>
      <c s="8" r="Y906"/>
      <c s="8" r="Z906"/>
      <c s="8" r="AA906"/>
    </row>
    <row r="907">
      <c s="8" r="A907"/>
      <c s="8" r="B907"/>
      <c s="8" r="C907"/>
      <c s="8" r="D907"/>
      <c s="8" r="E907"/>
      <c s="8" r="F907"/>
      <c s="8" r="G907"/>
      <c s="8" r="H907"/>
      <c s="8" r="I907"/>
      <c s="8" r="J907"/>
      <c s="8" r="K907"/>
      <c s="8" r="L907"/>
      <c s="8" r="M907"/>
      <c s="8" r="N907"/>
      <c s="8" r="O907"/>
      <c s="8" r="P907"/>
      <c s="8" r="Q907"/>
      <c s="8" r="R907"/>
      <c s="8" r="S907"/>
      <c s="8" r="T907"/>
      <c s="8" r="U907"/>
      <c s="8" r="V907"/>
      <c s="8" r="W907"/>
      <c s="8" r="X907"/>
      <c s="8" r="Y907"/>
      <c s="8" r="Z907"/>
      <c s="8" r="AA907"/>
    </row>
    <row r="908">
      <c s="8" r="A908"/>
      <c s="8" r="B908"/>
      <c s="8" r="C908"/>
      <c s="8" r="D908"/>
      <c s="8" r="E908"/>
      <c s="8" r="F908"/>
      <c s="8" r="G908"/>
      <c s="8" r="H908"/>
      <c s="8" r="I908"/>
      <c s="8" r="J908"/>
      <c s="8" r="K908"/>
      <c s="8" r="L908"/>
      <c s="8" r="M908"/>
      <c s="8" r="N908"/>
      <c s="8" r="O908"/>
      <c s="8" r="P908"/>
      <c s="8" r="Q908"/>
      <c s="8" r="R908"/>
      <c s="8" r="S908"/>
      <c s="8" r="T908"/>
      <c s="8" r="U908"/>
      <c s="8" r="V908"/>
      <c s="8" r="W908"/>
      <c s="8" r="X908"/>
      <c s="8" r="Y908"/>
      <c s="8" r="Z908"/>
      <c s="8" r="AA908"/>
    </row>
    <row r="909">
      <c s="8" r="A909"/>
      <c s="8" r="B909"/>
      <c s="8" r="C909"/>
      <c s="8" r="D909"/>
      <c s="8" r="E909"/>
      <c s="8" r="F909"/>
      <c s="8" r="G909"/>
      <c s="8" r="H909"/>
      <c s="8" r="I909"/>
      <c s="8" r="J909"/>
      <c s="8" r="K909"/>
      <c s="8" r="L909"/>
      <c s="8" r="M909"/>
      <c s="8" r="N909"/>
      <c s="8" r="O909"/>
      <c s="8" r="P909"/>
      <c s="8" r="Q909"/>
      <c s="8" r="R909"/>
      <c s="8" r="S909"/>
      <c s="8" r="T909"/>
      <c s="8" r="U909"/>
      <c s="8" r="V909"/>
      <c s="8" r="W909"/>
      <c s="8" r="X909"/>
      <c s="8" r="Y909"/>
      <c s="8" r="Z909"/>
      <c s="8" r="AA909"/>
    </row>
    <row r="910">
      <c s="8" r="A910"/>
      <c s="8" r="B910"/>
      <c s="8" r="C910"/>
      <c s="8" r="D910"/>
      <c s="8" r="E910"/>
      <c s="8" r="F910"/>
      <c s="8" r="G910"/>
      <c s="8" r="H910"/>
      <c s="8" r="I910"/>
      <c s="8" r="J910"/>
      <c s="8" r="K910"/>
      <c s="8" r="L910"/>
      <c s="8" r="M910"/>
      <c s="8" r="N910"/>
      <c s="8" r="O910"/>
      <c s="8" r="P910"/>
      <c s="8" r="Q910"/>
      <c s="8" r="R910"/>
      <c s="8" r="S910"/>
      <c s="8" r="T910"/>
      <c s="8" r="U910"/>
      <c s="8" r="V910"/>
      <c s="8" r="W910"/>
      <c s="8" r="X910"/>
      <c s="8" r="Y910"/>
      <c s="8" r="Z910"/>
      <c s="8" r="AA910"/>
    </row>
    <row r="911">
      <c s="8" r="A911"/>
      <c s="8" r="B911"/>
      <c s="8" r="C911"/>
      <c s="8" r="D911"/>
      <c s="8" r="E911"/>
      <c s="8" r="F911"/>
      <c s="8" r="G911"/>
      <c s="8" r="H911"/>
      <c s="8" r="I911"/>
      <c s="8" r="J911"/>
      <c s="8" r="K911"/>
      <c s="8" r="L911"/>
      <c s="8" r="M911"/>
      <c s="8" r="N911"/>
      <c s="8" r="O911"/>
      <c s="8" r="P911"/>
      <c s="8" r="Q911"/>
      <c s="8" r="R911"/>
      <c s="8" r="S911"/>
      <c s="8" r="T911"/>
      <c s="8" r="U911"/>
      <c s="8" r="V911"/>
      <c s="8" r="W911"/>
      <c s="8" r="X911"/>
      <c s="8" r="Y911"/>
      <c s="8" r="Z911"/>
      <c s="8" r="AA911"/>
    </row>
    <row r="912">
      <c s="8" r="A912"/>
      <c s="8" r="B912"/>
      <c s="8" r="C912"/>
      <c s="8" r="D912"/>
      <c s="8" r="E912"/>
      <c s="8" r="F912"/>
      <c s="8" r="G912"/>
      <c s="8" r="H912"/>
      <c s="8" r="I912"/>
      <c s="8" r="J912"/>
      <c s="8" r="K912"/>
      <c s="8" r="L912"/>
      <c s="8" r="M912"/>
      <c s="8" r="N912"/>
      <c s="8" r="O912"/>
      <c s="8" r="P912"/>
      <c s="8" r="Q912"/>
      <c s="8" r="R912"/>
      <c s="8" r="S912"/>
      <c s="8" r="T912"/>
      <c s="8" r="U912"/>
      <c s="8" r="V912"/>
      <c s="8" r="W912"/>
      <c s="8" r="X912"/>
      <c s="8" r="Y912"/>
      <c s="8" r="Z912"/>
      <c s="8" r="AA912"/>
    </row>
    <row r="913">
      <c s="8" r="A913"/>
      <c s="8" r="B913"/>
      <c s="8" r="C913"/>
      <c s="8" r="D913"/>
      <c s="8" r="E913"/>
      <c s="8" r="F913"/>
      <c s="8" r="G913"/>
      <c s="8" r="H913"/>
      <c s="8" r="I913"/>
      <c s="8" r="J913"/>
      <c s="8" r="K913"/>
      <c s="8" r="L913"/>
      <c s="8" r="M913"/>
      <c s="8" r="N913"/>
      <c s="8" r="O913"/>
      <c s="8" r="P913"/>
      <c s="8" r="Q913"/>
      <c s="8" r="R913"/>
      <c s="8" r="S913"/>
      <c s="8" r="T913"/>
      <c s="8" r="U913"/>
      <c s="8" r="V913"/>
      <c s="8" r="W913"/>
      <c s="8" r="X913"/>
      <c s="8" r="Y913"/>
      <c s="8" r="Z913"/>
      <c s="8" r="AA913"/>
    </row>
    <row r="914">
      <c s="8" r="A914"/>
      <c s="8" r="B914"/>
      <c s="8" r="C914"/>
      <c s="8" r="D914"/>
      <c s="8" r="E914"/>
      <c s="8" r="F914"/>
      <c s="8" r="G914"/>
      <c s="8" r="H914"/>
      <c s="8" r="I914"/>
      <c s="8" r="J914"/>
      <c s="8" r="K914"/>
      <c s="8" r="L914"/>
      <c s="8" r="M914"/>
      <c s="8" r="N914"/>
      <c s="8" r="O914"/>
      <c s="8" r="P914"/>
      <c s="8" r="Q914"/>
      <c s="8" r="R914"/>
      <c s="8" r="S914"/>
      <c s="8" r="T914"/>
      <c s="8" r="U914"/>
      <c s="8" r="V914"/>
      <c s="8" r="W914"/>
      <c s="8" r="X914"/>
      <c s="8" r="Y914"/>
      <c s="8" r="Z914"/>
      <c s="8" r="AA914"/>
    </row>
    <row r="915">
      <c s="8" r="A915"/>
      <c s="8" r="B915"/>
      <c s="8" r="C915"/>
      <c s="8" r="D915"/>
      <c s="8" r="E915"/>
      <c s="8" r="F915"/>
      <c s="8" r="G915"/>
      <c s="8" r="H915"/>
      <c s="8" r="I915"/>
      <c s="8" r="J915"/>
      <c s="8" r="K915"/>
      <c s="8" r="L915"/>
      <c s="8" r="M915"/>
      <c s="8" r="N915"/>
      <c s="8" r="O915"/>
      <c s="8" r="P915"/>
      <c s="8" r="Q915"/>
      <c s="8" r="R915"/>
      <c s="8" r="S915"/>
      <c s="8" r="T915"/>
      <c s="8" r="U915"/>
      <c s="8" r="V915"/>
      <c s="8" r="W915"/>
      <c s="8" r="X915"/>
      <c s="8" r="Y915"/>
      <c s="8" r="Z915"/>
      <c s="8" r="AA915"/>
    </row>
    <row r="916">
      <c s="8" r="A916"/>
      <c s="8" r="B916"/>
      <c s="8" r="C916"/>
      <c s="8" r="D916"/>
      <c s="8" r="E916"/>
      <c s="8" r="F916"/>
      <c s="8" r="G916"/>
      <c s="8" r="H916"/>
      <c s="8" r="I916"/>
      <c s="8" r="J916"/>
      <c s="8" r="K916"/>
      <c s="8" r="L916"/>
      <c s="8" r="M916"/>
      <c s="8" r="N916"/>
      <c s="8" r="O916"/>
      <c s="8" r="P916"/>
      <c s="8" r="Q916"/>
      <c s="8" r="R916"/>
      <c s="8" r="S916"/>
      <c s="8" r="T916"/>
      <c s="8" r="U916"/>
      <c s="8" r="V916"/>
      <c s="8" r="W916"/>
      <c s="8" r="X916"/>
      <c s="8" r="Y916"/>
      <c s="8" r="Z916"/>
      <c s="8" r="AA916"/>
    </row>
    <row r="917">
      <c s="8" r="A917"/>
      <c s="8" r="B917"/>
      <c s="8" r="C917"/>
      <c s="8" r="D917"/>
      <c s="8" r="E917"/>
      <c s="8" r="F917"/>
      <c s="8" r="G917"/>
      <c s="8" r="H917"/>
      <c s="8" r="I917"/>
      <c s="8" r="J917"/>
      <c s="8" r="K917"/>
      <c s="8" r="L917"/>
      <c s="8" r="M917"/>
      <c s="8" r="N917"/>
      <c s="8" r="O917"/>
      <c s="8" r="P917"/>
      <c s="8" r="Q917"/>
      <c s="8" r="R917"/>
      <c s="8" r="S917"/>
      <c s="8" r="T917"/>
      <c s="8" r="U917"/>
      <c s="8" r="V917"/>
      <c s="8" r="W917"/>
      <c s="8" r="X917"/>
      <c s="8" r="Y917"/>
      <c s="8" r="Z917"/>
      <c s="8" r="AA917"/>
    </row>
    <row r="918">
      <c s="8" r="A918"/>
      <c s="8" r="B918"/>
      <c s="8" r="C918"/>
      <c s="8" r="D918"/>
      <c s="8" r="E918"/>
      <c s="8" r="F918"/>
      <c s="8" r="G918"/>
      <c s="8" r="H918"/>
      <c s="8" r="I918"/>
      <c s="8" r="J918"/>
      <c s="8" r="K918"/>
      <c s="8" r="L918"/>
      <c s="8" r="M918"/>
      <c s="8" r="N918"/>
      <c s="8" r="O918"/>
      <c s="8" r="P918"/>
      <c s="8" r="Q918"/>
      <c s="8" r="R918"/>
      <c s="8" r="S918"/>
      <c s="8" r="T918"/>
      <c s="8" r="U918"/>
      <c s="8" r="V918"/>
      <c s="8" r="W918"/>
      <c s="8" r="X918"/>
      <c s="8" r="Y918"/>
      <c s="8" r="Z918"/>
      <c s="8" r="AA918"/>
    </row>
    <row r="919">
      <c s="8" r="A919"/>
      <c s="8" r="B919"/>
      <c s="8" r="C919"/>
      <c s="8" r="D919"/>
      <c s="8" r="E919"/>
      <c s="8" r="F919"/>
      <c s="8" r="G919"/>
      <c s="8" r="H919"/>
      <c s="8" r="I919"/>
      <c s="8" r="J919"/>
      <c s="8" r="K919"/>
      <c s="8" r="L919"/>
      <c s="8" r="M919"/>
      <c s="8" r="N919"/>
      <c s="8" r="O919"/>
      <c s="8" r="P919"/>
      <c s="8" r="Q919"/>
      <c s="8" r="R919"/>
      <c s="8" r="S919"/>
      <c s="8" r="T919"/>
      <c s="8" r="U919"/>
      <c s="8" r="V919"/>
      <c s="8" r="W919"/>
      <c s="8" r="X919"/>
      <c s="8" r="Y919"/>
      <c s="8" r="Z919"/>
      <c s="8" r="AA919"/>
    </row>
    <row r="920">
      <c s="8" r="A920"/>
      <c s="8" r="B920"/>
      <c s="8" r="C920"/>
      <c s="8" r="D920"/>
      <c s="8" r="E920"/>
      <c s="8" r="F920"/>
      <c s="8" r="G920"/>
      <c s="8" r="H920"/>
      <c s="8" r="I920"/>
      <c s="8" r="J920"/>
      <c s="8" r="K920"/>
      <c s="8" r="L920"/>
      <c s="8" r="M920"/>
      <c s="8" r="N920"/>
      <c s="8" r="O920"/>
      <c s="8" r="P920"/>
      <c s="8" r="Q920"/>
      <c s="8" r="R920"/>
      <c s="8" r="S920"/>
      <c s="8" r="T920"/>
      <c s="8" r="U920"/>
      <c s="8" r="V920"/>
      <c s="8" r="W920"/>
      <c s="8" r="X920"/>
      <c s="8" r="Y920"/>
      <c s="8" r="Z920"/>
      <c s="8" r="AA920"/>
    </row>
    <row r="921">
      <c s="8" r="A921"/>
      <c s="8" r="B921"/>
      <c s="8" r="C921"/>
      <c s="8" r="D921"/>
      <c s="8" r="E921"/>
      <c s="8" r="F921"/>
      <c s="8" r="G921"/>
      <c s="8" r="H921"/>
      <c s="8" r="I921"/>
      <c s="8" r="J921"/>
      <c s="8" r="K921"/>
      <c s="8" r="L921"/>
      <c s="8" r="M921"/>
      <c s="8" r="N921"/>
      <c s="8" r="O921"/>
      <c s="8" r="P921"/>
      <c s="8" r="Q921"/>
      <c s="8" r="R921"/>
      <c s="8" r="S921"/>
      <c s="8" r="T921"/>
      <c s="8" r="U921"/>
      <c s="8" r="V921"/>
      <c s="8" r="W921"/>
      <c s="8" r="X921"/>
      <c s="8" r="Y921"/>
      <c s="8" r="Z921"/>
      <c s="8" r="AA921"/>
    </row>
    <row r="922">
      <c s="8" r="A922"/>
      <c s="8" r="B922"/>
      <c s="8" r="C922"/>
      <c s="8" r="D922"/>
      <c s="8" r="E922"/>
      <c s="8" r="F922"/>
      <c s="8" r="G922"/>
      <c s="8" r="H922"/>
      <c s="8" r="I922"/>
      <c s="8" r="J922"/>
      <c s="8" r="K922"/>
      <c s="8" r="L922"/>
      <c s="8" r="M922"/>
      <c s="8" r="N922"/>
      <c s="8" r="O922"/>
      <c s="8" r="P922"/>
      <c s="8" r="Q922"/>
      <c s="8" r="R922"/>
      <c s="8" r="S922"/>
      <c s="8" r="T922"/>
      <c s="8" r="U922"/>
      <c s="8" r="V922"/>
      <c s="8" r="W922"/>
      <c s="8" r="X922"/>
      <c s="8" r="Y922"/>
      <c s="8" r="Z922"/>
      <c s="8" r="AA922"/>
    </row>
    <row r="923">
      <c s="8" r="A923"/>
      <c s="8" r="B923"/>
      <c s="8" r="C923"/>
      <c s="8" r="D923"/>
      <c s="8" r="E923"/>
      <c s="8" r="F923"/>
      <c s="8" r="G923"/>
      <c s="8" r="H923"/>
      <c s="8" r="I923"/>
      <c s="8" r="J923"/>
      <c s="8" r="K923"/>
      <c s="8" r="L923"/>
      <c s="8" r="M923"/>
      <c s="8" r="N923"/>
      <c s="8" r="O923"/>
      <c s="8" r="P923"/>
      <c s="8" r="Q923"/>
      <c s="8" r="R923"/>
      <c s="8" r="S923"/>
      <c s="8" r="T923"/>
      <c s="8" r="U923"/>
      <c s="8" r="V923"/>
      <c s="8" r="W923"/>
      <c s="8" r="X923"/>
      <c s="8" r="Y923"/>
      <c s="8" r="Z923"/>
      <c s="8" r="AA923"/>
    </row>
    <row r="924">
      <c s="8" r="A924"/>
      <c s="8" r="B924"/>
      <c s="8" r="C924"/>
      <c s="8" r="D924"/>
      <c s="8" r="E924"/>
      <c s="8" r="F924"/>
      <c s="8" r="G924"/>
      <c s="8" r="H924"/>
      <c s="8" r="I924"/>
      <c s="8" r="J924"/>
      <c s="8" r="K924"/>
      <c s="8" r="L924"/>
      <c s="8" r="M924"/>
      <c s="8" r="N924"/>
      <c s="8" r="O924"/>
      <c s="8" r="P924"/>
      <c s="8" r="Q924"/>
      <c s="8" r="R924"/>
      <c s="8" r="S924"/>
      <c s="8" r="T924"/>
      <c s="8" r="U924"/>
      <c s="8" r="V924"/>
      <c s="8" r="W924"/>
      <c s="8" r="X924"/>
      <c s="8" r="Y924"/>
      <c s="8" r="Z924"/>
      <c s="8" r="AA924"/>
    </row>
    <row r="925">
      <c s="8" r="A925"/>
      <c s="8" r="B925"/>
      <c s="8" r="C925"/>
      <c s="8" r="D925"/>
      <c s="8" r="E925"/>
      <c s="8" r="F925"/>
      <c s="8" r="G925"/>
      <c s="8" r="H925"/>
      <c s="8" r="I925"/>
      <c s="8" r="J925"/>
      <c s="8" r="K925"/>
      <c s="8" r="L925"/>
      <c s="8" r="M925"/>
      <c s="8" r="N925"/>
      <c s="8" r="O925"/>
      <c s="8" r="P925"/>
      <c s="8" r="Q925"/>
      <c s="8" r="R925"/>
      <c s="8" r="S925"/>
      <c s="8" r="T925"/>
      <c s="8" r="U925"/>
      <c s="8" r="V925"/>
      <c s="8" r="W925"/>
      <c s="8" r="X925"/>
      <c s="8" r="Y925"/>
      <c s="8" r="Z925"/>
      <c s="8" r="AA925"/>
    </row>
    <row r="926">
      <c s="8" r="A926"/>
      <c s="8" r="B926"/>
      <c s="8" r="C926"/>
      <c s="8" r="D926"/>
      <c s="8" r="E926"/>
      <c s="8" r="F926"/>
      <c s="8" r="G926"/>
      <c s="8" r="H926"/>
      <c s="8" r="I926"/>
      <c s="8" r="J926"/>
      <c s="8" r="K926"/>
      <c s="8" r="L926"/>
      <c s="8" r="M926"/>
      <c s="8" r="N926"/>
      <c s="8" r="O926"/>
      <c s="8" r="P926"/>
      <c s="8" r="Q926"/>
      <c s="8" r="R926"/>
      <c s="8" r="S926"/>
      <c s="8" r="T926"/>
      <c s="8" r="U926"/>
      <c s="8" r="V926"/>
      <c s="8" r="W926"/>
      <c s="8" r="X926"/>
      <c s="8" r="Y926"/>
      <c s="8" r="Z926"/>
      <c s="8" r="AA926"/>
    </row>
    <row r="927">
      <c s="8" r="A927"/>
      <c s="8" r="B927"/>
      <c s="8" r="C927"/>
      <c s="8" r="D927"/>
      <c s="8" r="E927"/>
      <c s="8" r="F927"/>
      <c s="8" r="G927"/>
      <c s="8" r="H927"/>
      <c s="8" r="I927"/>
      <c s="8" r="J927"/>
      <c s="8" r="K927"/>
      <c s="8" r="L927"/>
      <c s="8" r="M927"/>
      <c s="8" r="N927"/>
      <c s="8" r="O927"/>
      <c s="8" r="P927"/>
      <c s="8" r="Q927"/>
      <c s="8" r="R927"/>
      <c s="8" r="S927"/>
      <c s="8" r="T927"/>
      <c s="8" r="U927"/>
      <c s="8" r="V927"/>
      <c s="8" r="W927"/>
      <c s="8" r="X927"/>
      <c s="8" r="Y927"/>
      <c s="8" r="Z927"/>
      <c s="8" r="AA927"/>
    </row>
    <row r="928">
      <c s="8" r="A928"/>
      <c s="8" r="B928"/>
      <c s="8" r="C928"/>
      <c s="8" r="D928"/>
      <c s="8" r="E928"/>
      <c s="8" r="F928"/>
      <c s="8" r="G928"/>
      <c s="8" r="H928"/>
      <c s="8" r="I928"/>
      <c s="8" r="J928"/>
      <c s="8" r="K928"/>
      <c s="8" r="L928"/>
      <c s="8" r="M928"/>
      <c s="8" r="N928"/>
      <c s="8" r="O928"/>
      <c s="8" r="P928"/>
      <c s="8" r="Q928"/>
      <c s="8" r="R928"/>
      <c s="8" r="S928"/>
      <c s="8" r="T928"/>
      <c s="8" r="U928"/>
      <c s="8" r="V928"/>
      <c s="8" r="W928"/>
      <c s="8" r="X928"/>
      <c s="8" r="Y928"/>
      <c s="8" r="Z928"/>
      <c s="8" r="AA928"/>
    </row>
    <row r="929">
      <c s="8" r="A929"/>
      <c s="8" r="B929"/>
      <c s="8" r="C929"/>
      <c s="8" r="D929"/>
      <c s="8" r="E929"/>
      <c s="8" r="F929"/>
      <c s="8" r="G929"/>
      <c s="8" r="H929"/>
      <c s="8" r="I929"/>
      <c s="8" r="J929"/>
      <c s="8" r="K929"/>
      <c s="8" r="L929"/>
      <c s="8" r="M929"/>
      <c s="8" r="N929"/>
      <c s="8" r="O929"/>
      <c s="8" r="P929"/>
      <c s="8" r="Q929"/>
      <c s="8" r="R929"/>
      <c s="8" r="S929"/>
      <c s="8" r="T929"/>
      <c s="8" r="U929"/>
      <c s="8" r="V929"/>
      <c s="8" r="W929"/>
      <c s="8" r="X929"/>
      <c s="8" r="Y929"/>
      <c s="8" r="Z929"/>
      <c s="8" r="AA929"/>
    </row>
    <row r="930">
      <c s="8" r="A930"/>
      <c s="8" r="B930"/>
      <c s="8" r="C930"/>
      <c s="8" r="D930"/>
      <c s="8" r="E930"/>
      <c s="8" r="F930"/>
      <c s="8" r="G930"/>
      <c s="8" r="H930"/>
      <c s="8" r="I930"/>
      <c s="8" r="J930"/>
      <c s="8" r="K930"/>
      <c s="8" r="L930"/>
      <c s="8" r="M930"/>
      <c s="8" r="N930"/>
      <c s="8" r="O930"/>
      <c s="8" r="P930"/>
      <c s="8" r="Q930"/>
      <c s="8" r="R930"/>
      <c s="8" r="S930"/>
      <c s="8" r="T930"/>
      <c s="8" r="U930"/>
      <c s="8" r="V930"/>
      <c s="8" r="W930"/>
      <c s="8" r="X930"/>
      <c s="8" r="Y930"/>
      <c s="8" r="Z930"/>
      <c s="8" r="AA930"/>
    </row>
    <row r="931">
      <c s="8" r="A931"/>
      <c s="8" r="B931"/>
      <c s="8" r="C931"/>
      <c s="8" r="D931"/>
      <c s="8" r="E931"/>
      <c s="8" r="F931"/>
      <c s="8" r="G931"/>
      <c s="8" r="H931"/>
      <c s="8" r="I931"/>
      <c s="8" r="J931"/>
      <c s="8" r="K931"/>
      <c s="8" r="L931"/>
      <c s="8" r="M931"/>
      <c s="8" r="N931"/>
      <c s="8" r="O931"/>
      <c s="8" r="P931"/>
      <c s="8" r="Q931"/>
      <c s="8" r="R931"/>
      <c s="8" r="S931"/>
      <c s="8" r="T931"/>
      <c s="8" r="U931"/>
      <c s="8" r="V931"/>
      <c s="8" r="W931"/>
      <c s="8" r="X931"/>
      <c s="8" r="Y931"/>
      <c s="8" r="Z931"/>
      <c s="8" r="AA931"/>
    </row>
    <row r="932">
      <c s="8" r="A932"/>
      <c s="8" r="B932"/>
      <c s="8" r="C932"/>
      <c s="8" r="D932"/>
      <c s="8" r="E932"/>
      <c s="8" r="F932"/>
      <c s="8" r="G932"/>
      <c s="8" r="H932"/>
      <c s="8" r="I932"/>
      <c s="8" r="J932"/>
      <c s="8" r="K932"/>
      <c s="8" r="L932"/>
      <c s="8" r="M932"/>
      <c s="8" r="N932"/>
      <c s="8" r="O932"/>
      <c s="8" r="P932"/>
      <c s="8" r="Q932"/>
      <c s="8" r="R932"/>
      <c s="8" r="S932"/>
      <c s="8" r="T932"/>
      <c s="8" r="U932"/>
      <c s="8" r="V932"/>
      <c s="8" r="W932"/>
      <c s="8" r="X932"/>
      <c s="8" r="Y932"/>
      <c s="8" r="Z932"/>
      <c s="8" r="AA932"/>
    </row>
    <row r="933">
      <c s="8" r="A933"/>
      <c s="8" r="B933"/>
      <c s="8" r="C933"/>
      <c s="8" r="D933"/>
      <c s="8" r="E933"/>
      <c s="8" r="F933"/>
      <c s="8" r="G933"/>
      <c s="8" r="H933"/>
      <c s="8" r="I933"/>
      <c s="8" r="J933"/>
      <c s="8" r="K933"/>
      <c s="8" r="L933"/>
      <c s="8" r="M933"/>
      <c s="8" r="N933"/>
      <c s="8" r="O933"/>
      <c s="8" r="P933"/>
      <c s="8" r="Q933"/>
      <c s="8" r="R933"/>
      <c s="8" r="S933"/>
      <c s="8" r="T933"/>
      <c s="8" r="U933"/>
      <c s="8" r="V933"/>
      <c s="8" r="W933"/>
      <c s="8" r="X933"/>
      <c s="8" r="Y933"/>
      <c s="8" r="Z933"/>
      <c s="8" r="AA933"/>
    </row>
    <row r="934">
      <c s="8" r="A934"/>
      <c s="8" r="B934"/>
      <c s="8" r="C934"/>
      <c s="8" r="D934"/>
      <c s="8" r="E934"/>
      <c s="8" r="F934"/>
      <c s="8" r="G934"/>
      <c s="8" r="H934"/>
      <c s="8" r="I934"/>
      <c s="8" r="J934"/>
      <c s="8" r="K934"/>
      <c s="8" r="L934"/>
      <c s="8" r="M934"/>
      <c s="8" r="N934"/>
      <c s="8" r="O934"/>
      <c s="8" r="P934"/>
      <c s="8" r="Q934"/>
      <c s="8" r="R934"/>
      <c s="8" r="S934"/>
      <c s="8" r="T934"/>
      <c s="8" r="U934"/>
      <c s="8" r="V934"/>
      <c s="8" r="W934"/>
      <c s="8" r="X934"/>
      <c s="8" r="Y934"/>
      <c s="8" r="Z934"/>
      <c s="8" r="AA934"/>
    </row>
    <row r="935">
      <c s="8" r="A935"/>
      <c s="8" r="B935"/>
      <c s="8" r="C935"/>
      <c s="8" r="D935"/>
      <c s="8" r="E935"/>
      <c s="8" r="F935"/>
      <c s="8" r="G935"/>
      <c s="8" r="H935"/>
      <c s="8" r="I935"/>
      <c s="8" r="J935"/>
      <c s="8" r="K935"/>
      <c s="8" r="L935"/>
      <c s="8" r="M935"/>
      <c s="8" r="N935"/>
      <c s="8" r="O935"/>
      <c s="8" r="P935"/>
      <c s="8" r="Q935"/>
      <c s="8" r="R935"/>
      <c s="8" r="S935"/>
      <c s="8" r="T935"/>
      <c s="8" r="U935"/>
      <c s="8" r="V935"/>
      <c s="8" r="W935"/>
      <c s="8" r="X935"/>
      <c s="8" r="Y935"/>
      <c s="8" r="Z935"/>
      <c s="8" r="AA935"/>
    </row>
    <row r="936">
      <c s="8" r="A936"/>
      <c s="8" r="B936"/>
      <c s="8" r="C936"/>
      <c s="8" r="D936"/>
      <c s="8" r="E936"/>
      <c s="8" r="F936"/>
      <c s="8" r="G936"/>
      <c s="8" r="H936"/>
      <c s="8" r="I936"/>
      <c s="8" r="J936"/>
      <c s="8" r="K936"/>
      <c s="8" r="L936"/>
      <c s="8" r="M936"/>
      <c s="8" r="N936"/>
      <c s="8" r="O936"/>
      <c s="8" r="P936"/>
      <c s="8" r="Q936"/>
      <c s="8" r="R936"/>
      <c s="8" r="S936"/>
      <c s="8" r="T936"/>
      <c s="8" r="U936"/>
      <c s="8" r="V936"/>
      <c s="8" r="W936"/>
      <c s="8" r="X936"/>
      <c s="8" r="Y936"/>
      <c s="8" r="Z936"/>
      <c s="8" r="AA936"/>
    </row>
    <row r="937">
      <c s="8" r="A937"/>
      <c s="8" r="B937"/>
      <c s="8" r="C937"/>
      <c s="8" r="D937"/>
      <c s="8" r="E937"/>
      <c s="8" r="F937"/>
      <c s="8" r="G937"/>
      <c s="8" r="H937"/>
      <c s="8" r="I937"/>
      <c s="8" r="J937"/>
      <c s="8" r="K937"/>
      <c s="8" r="L937"/>
      <c s="8" r="M937"/>
      <c s="8" r="N937"/>
      <c s="8" r="O937"/>
      <c s="8" r="P937"/>
      <c s="8" r="Q937"/>
      <c s="8" r="R937"/>
      <c s="8" r="S937"/>
      <c s="8" r="T937"/>
      <c s="8" r="U937"/>
      <c s="8" r="V937"/>
      <c s="8" r="W937"/>
      <c s="8" r="X937"/>
      <c s="8" r="Y937"/>
      <c s="8" r="Z937"/>
      <c s="8" r="AA937"/>
    </row>
    <row r="938">
      <c s="8" r="A938"/>
      <c s="8" r="B938"/>
      <c s="8" r="C938"/>
      <c s="8" r="D938"/>
      <c s="8" r="E938"/>
      <c s="8" r="F938"/>
      <c s="8" r="G938"/>
      <c s="8" r="H938"/>
      <c s="8" r="I938"/>
      <c s="8" r="J938"/>
      <c s="8" r="K938"/>
      <c s="8" r="L938"/>
      <c s="8" r="M938"/>
      <c s="8" r="N938"/>
      <c s="8" r="O938"/>
      <c s="8" r="P938"/>
      <c s="8" r="Q938"/>
      <c s="8" r="R938"/>
      <c s="8" r="S938"/>
      <c s="8" r="T938"/>
      <c s="8" r="U938"/>
      <c s="8" r="V938"/>
      <c s="8" r="W938"/>
      <c s="8" r="X938"/>
      <c s="8" r="Y938"/>
      <c s="8" r="Z938"/>
      <c s="8" r="AA938"/>
    </row>
    <row r="939">
      <c s="8" r="A939"/>
      <c s="8" r="B939"/>
      <c s="8" r="C939"/>
      <c s="8" r="D939"/>
      <c s="8" r="E939"/>
      <c s="8" r="F939"/>
      <c s="8" r="G939"/>
      <c s="8" r="H939"/>
      <c s="8" r="I939"/>
      <c s="8" r="J939"/>
      <c s="8" r="K939"/>
      <c s="8" r="L939"/>
      <c s="8" r="M939"/>
      <c s="8" r="N939"/>
      <c s="8" r="O939"/>
      <c s="8" r="P939"/>
      <c s="8" r="Q939"/>
      <c s="8" r="R939"/>
      <c s="8" r="S939"/>
      <c s="8" r="T939"/>
      <c s="8" r="U939"/>
      <c s="8" r="V939"/>
      <c s="8" r="W939"/>
      <c s="8" r="X939"/>
      <c s="8" r="Y939"/>
      <c s="8" r="Z939"/>
      <c s="8" r="AA939"/>
    </row>
    <row r="940">
      <c s="8" r="A940"/>
      <c s="8" r="B940"/>
      <c s="8" r="C940"/>
      <c s="8" r="D940"/>
      <c s="8" r="E940"/>
      <c s="8" r="F940"/>
      <c s="8" r="G940"/>
      <c s="8" r="H940"/>
      <c s="8" r="I940"/>
      <c s="8" r="J940"/>
      <c s="8" r="K940"/>
      <c s="8" r="L940"/>
      <c s="8" r="M940"/>
      <c s="8" r="N940"/>
      <c s="8" r="O940"/>
      <c s="8" r="P940"/>
      <c s="8" r="Q940"/>
      <c s="8" r="R940"/>
      <c s="8" r="S940"/>
      <c s="8" r="T940"/>
      <c s="8" r="U940"/>
      <c s="8" r="V940"/>
      <c s="8" r="W940"/>
      <c s="8" r="X940"/>
      <c s="8" r="Y940"/>
      <c s="8" r="Z940"/>
      <c s="8" r="AA940"/>
    </row>
    <row r="941">
      <c s="8" r="A941"/>
      <c s="8" r="B941"/>
      <c s="8" r="C941"/>
      <c s="8" r="D941"/>
      <c s="8" r="E941"/>
      <c s="8" r="F941"/>
      <c s="8" r="G941"/>
      <c s="8" r="H941"/>
      <c s="8" r="I941"/>
      <c s="8" r="J941"/>
      <c s="8" r="K941"/>
      <c s="8" r="L941"/>
      <c s="8" r="M941"/>
      <c s="8" r="N941"/>
      <c s="8" r="O941"/>
      <c s="8" r="P941"/>
      <c s="8" r="Q941"/>
      <c s="8" r="R941"/>
      <c s="8" r="S941"/>
      <c s="8" r="T941"/>
      <c s="8" r="U941"/>
      <c s="8" r="V941"/>
      <c s="8" r="W941"/>
      <c s="8" r="X941"/>
      <c s="8" r="Y941"/>
      <c s="8" r="Z941"/>
      <c s="8" r="AA941"/>
    </row>
    <row r="942">
      <c s="8" r="A942"/>
      <c s="8" r="B942"/>
      <c s="8" r="C942"/>
      <c s="8" r="D942"/>
      <c s="8" r="E942"/>
      <c s="8" r="F942"/>
      <c s="8" r="G942"/>
      <c s="8" r="H942"/>
      <c s="8" r="I942"/>
      <c s="8" r="J942"/>
      <c s="8" r="K942"/>
      <c s="8" r="L942"/>
      <c s="8" r="M942"/>
      <c s="8" r="N942"/>
      <c s="8" r="O942"/>
      <c s="8" r="P942"/>
      <c s="8" r="Q942"/>
      <c s="8" r="R942"/>
      <c s="8" r="S942"/>
      <c s="8" r="T942"/>
      <c s="8" r="U942"/>
      <c s="8" r="V942"/>
      <c s="8" r="W942"/>
      <c s="8" r="X942"/>
      <c s="8" r="Y942"/>
      <c s="8" r="Z942"/>
      <c s="8" r="AA942"/>
    </row>
    <row r="943">
      <c s="8" r="A943"/>
      <c s="8" r="B943"/>
      <c s="8" r="C943"/>
      <c s="8" r="D943"/>
      <c s="8" r="E943"/>
      <c s="8" r="F943"/>
      <c s="8" r="G943"/>
      <c s="8" r="H943"/>
      <c s="8" r="I943"/>
      <c s="8" r="J943"/>
      <c s="8" r="K943"/>
      <c s="8" r="L943"/>
      <c s="8" r="M943"/>
      <c s="8" r="N943"/>
      <c s="8" r="O943"/>
      <c s="8" r="P943"/>
      <c s="8" r="Q943"/>
      <c s="8" r="R943"/>
      <c s="8" r="S943"/>
      <c s="8" r="T943"/>
      <c s="8" r="U943"/>
      <c s="8" r="V943"/>
      <c s="8" r="W943"/>
      <c s="8" r="X943"/>
      <c s="8" r="Y943"/>
      <c s="8" r="Z943"/>
      <c s="8" r="AA943"/>
    </row>
    <row r="944">
      <c s="8" r="A944"/>
      <c s="8" r="B944"/>
      <c s="8" r="C944"/>
      <c s="8" r="D944"/>
      <c s="8" r="E944"/>
      <c s="8" r="F944"/>
      <c s="8" r="G944"/>
      <c s="8" r="H944"/>
      <c s="8" r="I944"/>
      <c s="8" r="J944"/>
      <c s="8" r="K944"/>
      <c s="8" r="L944"/>
      <c s="8" r="M944"/>
      <c s="8" r="N944"/>
      <c s="8" r="O944"/>
      <c s="8" r="P944"/>
      <c s="8" r="Q944"/>
      <c s="8" r="R944"/>
      <c s="8" r="S944"/>
      <c s="8" r="T944"/>
      <c s="8" r="U944"/>
      <c s="8" r="V944"/>
      <c s="8" r="W944"/>
      <c s="8" r="X944"/>
      <c s="8" r="Y944"/>
      <c s="8" r="Z944"/>
      <c s="8" r="AA944"/>
    </row>
    <row r="945">
      <c s="8" r="A945"/>
      <c s="8" r="B945"/>
      <c s="8" r="C945"/>
      <c s="8" r="D945"/>
      <c s="8" r="E945"/>
      <c s="8" r="F945"/>
      <c s="8" r="G945"/>
      <c s="8" r="H945"/>
      <c s="8" r="I945"/>
      <c s="8" r="J945"/>
      <c s="8" r="K945"/>
      <c s="8" r="L945"/>
      <c s="8" r="M945"/>
      <c s="8" r="N945"/>
      <c s="8" r="O945"/>
      <c s="8" r="P945"/>
      <c s="8" r="Q945"/>
      <c s="8" r="R945"/>
      <c s="8" r="S945"/>
      <c s="8" r="T945"/>
      <c s="8" r="U945"/>
      <c s="8" r="V945"/>
      <c s="8" r="W945"/>
      <c s="8" r="X945"/>
      <c s="8" r="Y945"/>
      <c s="8" r="Z945"/>
      <c s="8" r="AA945"/>
    </row>
    <row r="946">
      <c s="8" r="A946"/>
      <c s="8" r="B946"/>
      <c s="8" r="C946"/>
      <c s="8" r="D946"/>
      <c s="8" r="E946"/>
      <c s="8" r="F946"/>
      <c s="8" r="G946"/>
      <c s="8" r="H946"/>
      <c s="8" r="I946"/>
      <c s="8" r="J946"/>
      <c s="8" r="K946"/>
      <c s="8" r="L946"/>
      <c s="8" r="M946"/>
      <c s="8" r="N946"/>
      <c s="8" r="O946"/>
      <c s="8" r="P946"/>
      <c s="8" r="Q946"/>
      <c s="8" r="R946"/>
      <c s="8" r="S946"/>
      <c s="8" r="T946"/>
      <c s="8" r="U946"/>
      <c s="8" r="V946"/>
      <c s="8" r="W946"/>
      <c s="8" r="X946"/>
      <c s="8" r="Y946"/>
      <c s="8" r="Z946"/>
      <c s="8" r="AA946"/>
    </row>
    <row r="947">
      <c s="8" r="A947"/>
      <c s="8" r="B947"/>
      <c s="8" r="C947"/>
      <c s="8" r="D947"/>
      <c s="8" r="E947"/>
      <c s="8" r="F947"/>
      <c s="8" r="G947"/>
      <c s="8" r="H947"/>
      <c s="8" r="I947"/>
      <c s="8" r="J947"/>
      <c s="8" r="K947"/>
      <c s="8" r="L947"/>
      <c s="8" r="M947"/>
      <c s="8" r="N947"/>
      <c s="8" r="O947"/>
      <c s="8" r="P947"/>
      <c s="8" r="Q947"/>
      <c s="8" r="R947"/>
      <c s="8" r="S947"/>
      <c s="8" r="T947"/>
      <c s="8" r="U947"/>
      <c s="8" r="V947"/>
      <c s="8" r="W947"/>
      <c s="8" r="X947"/>
      <c s="8" r="Y947"/>
      <c s="8" r="Z947"/>
      <c s="8" r="AA947"/>
    </row>
    <row r="948">
      <c s="8" r="A948"/>
      <c s="8" r="B948"/>
      <c s="8" r="C948"/>
      <c s="8" r="D948"/>
      <c s="8" r="E948"/>
      <c s="8" r="F948"/>
      <c s="8" r="G948"/>
      <c s="8" r="H948"/>
      <c s="8" r="I948"/>
      <c s="8" r="J948"/>
      <c s="8" r="K948"/>
      <c s="8" r="L948"/>
      <c s="8" r="M948"/>
      <c s="8" r="N948"/>
      <c s="8" r="O948"/>
      <c s="8" r="P948"/>
      <c s="8" r="Q948"/>
      <c s="8" r="R948"/>
      <c s="8" r="S948"/>
      <c s="8" r="T948"/>
      <c s="8" r="U948"/>
      <c s="8" r="V948"/>
      <c s="8" r="W948"/>
      <c s="8" r="X948"/>
      <c s="8" r="Y948"/>
      <c s="8" r="Z948"/>
      <c s="8" r="AA948"/>
    </row>
    <row r="949">
      <c s="8" r="A949"/>
      <c s="8" r="B949"/>
      <c s="8" r="C949"/>
      <c s="8" r="D949"/>
      <c s="8" r="E949"/>
      <c s="8" r="F949"/>
      <c s="8" r="G949"/>
      <c s="8" r="H949"/>
      <c s="8" r="I949"/>
      <c s="8" r="J949"/>
      <c s="8" r="K949"/>
      <c s="8" r="L949"/>
      <c s="8" r="M949"/>
      <c s="8" r="N949"/>
      <c s="8" r="O949"/>
      <c s="8" r="P949"/>
      <c s="8" r="Q949"/>
      <c s="8" r="R949"/>
      <c s="8" r="S949"/>
      <c s="8" r="T949"/>
      <c s="8" r="U949"/>
      <c s="8" r="V949"/>
      <c s="8" r="W949"/>
      <c s="8" r="X949"/>
      <c s="8" r="Y949"/>
      <c s="8" r="Z949"/>
      <c s="8" r="AA949"/>
    </row>
    <row r="950">
      <c s="8" r="A950"/>
      <c s="8" r="B950"/>
      <c s="8" r="C950"/>
      <c s="8" r="D950"/>
      <c s="8" r="E950"/>
      <c s="8" r="F950"/>
      <c s="8" r="G950"/>
      <c s="8" r="H950"/>
      <c s="8" r="I950"/>
      <c s="8" r="J950"/>
      <c s="8" r="K950"/>
      <c s="8" r="L950"/>
      <c s="8" r="M950"/>
      <c s="8" r="N950"/>
      <c s="8" r="O950"/>
      <c s="8" r="P950"/>
      <c s="8" r="Q950"/>
      <c s="8" r="R950"/>
      <c s="8" r="S950"/>
      <c s="8" r="T950"/>
      <c s="8" r="U950"/>
      <c s="8" r="V950"/>
      <c s="8" r="W950"/>
      <c s="8" r="X950"/>
      <c s="8" r="Y950"/>
      <c s="8" r="Z950"/>
      <c s="8" r="AA950"/>
    </row>
    <row r="951">
      <c s="8" r="A951"/>
      <c s="8" r="B951"/>
      <c s="8" r="C951"/>
      <c s="8" r="D951"/>
      <c s="8" r="E951"/>
      <c s="8" r="F951"/>
      <c s="8" r="G951"/>
      <c s="8" r="H951"/>
      <c s="8" r="I951"/>
      <c s="8" r="J951"/>
      <c s="8" r="K951"/>
      <c s="8" r="L951"/>
      <c s="8" r="M951"/>
      <c s="8" r="N951"/>
      <c s="8" r="O951"/>
      <c s="8" r="P951"/>
      <c s="8" r="Q951"/>
      <c s="8" r="R951"/>
      <c s="8" r="S951"/>
      <c s="8" r="T951"/>
      <c s="8" r="U951"/>
      <c s="8" r="V951"/>
      <c s="8" r="W951"/>
      <c s="8" r="X951"/>
      <c s="8" r="Y951"/>
      <c s="8" r="Z951"/>
      <c s="8" r="AA951"/>
    </row>
    <row r="952">
      <c s="8" r="A952"/>
      <c s="8" r="B952"/>
      <c s="8" r="C952"/>
      <c s="8" r="D952"/>
      <c s="8" r="E952"/>
      <c s="8" r="F952"/>
      <c s="8" r="G952"/>
      <c s="8" r="H952"/>
      <c s="8" r="I952"/>
      <c s="8" r="J952"/>
      <c s="8" r="K952"/>
      <c s="8" r="L952"/>
      <c s="8" r="M952"/>
      <c s="8" r="N952"/>
      <c s="8" r="O952"/>
      <c s="8" r="P952"/>
      <c s="8" r="Q952"/>
      <c s="8" r="R952"/>
      <c s="8" r="S952"/>
      <c s="8" r="T952"/>
      <c s="8" r="U952"/>
      <c s="8" r="V952"/>
      <c s="8" r="W952"/>
      <c s="8" r="X952"/>
      <c s="8" r="Y952"/>
      <c s="8" r="Z952"/>
      <c s="8" r="AA952"/>
    </row>
    <row r="953">
      <c s="8" r="A953"/>
      <c s="8" r="B953"/>
      <c s="8" r="C953"/>
      <c s="8" r="D953"/>
      <c s="8" r="E953"/>
      <c s="8" r="F953"/>
      <c s="8" r="G953"/>
      <c s="8" r="H953"/>
      <c s="8" r="I953"/>
      <c s="8" r="J953"/>
      <c s="8" r="K953"/>
      <c s="8" r="L953"/>
      <c s="8" r="M953"/>
      <c s="8" r="N953"/>
      <c s="8" r="O953"/>
      <c s="8" r="P953"/>
      <c s="8" r="Q953"/>
      <c s="8" r="R953"/>
      <c s="8" r="S953"/>
      <c s="8" r="T953"/>
      <c s="8" r="U953"/>
      <c s="8" r="V953"/>
      <c s="8" r="W953"/>
      <c s="8" r="X953"/>
      <c s="8" r="Y953"/>
      <c s="8" r="Z953"/>
      <c s="8" r="AA953"/>
    </row>
    <row r="954">
      <c s="8" r="A954"/>
      <c s="8" r="B954"/>
      <c s="8" r="C954"/>
      <c s="8" r="D954"/>
      <c s="8" r="E954"/>
      <c s="8" r="F954"/>
      <c s="8" r="G954"/>
      <c s="8" r="H954"/>
      <c s="8" r="I954"/>
      <c s="8" r="J954"/>
      <c s="8" r="K954"/>
      <c s="8" r="L954"/>
      <c s="8" r="M954"/>
      <c s="8" r="N954"/>
      <c s="8" r="O954"/>
      <c s="8" r="P954"/>
      <c s="8" r="Q954"/>
      <c s="8" r="R954"/>
      <c s="8" r="S954"/>
      <c s="8" r="T954"/>
      <c s="8" r="U954"/>
      <c s="8" r="V954"/>
      <c s="8" r="W954"/>
      <c s="8" r="X954"/>
      <c s="8" r="Y954"/>
      <c s="8" r="Z954"/>
      <c s="8" r="AA954"/>
    </row>
    <row r="955">
      <c s="8" r="A955"/>
      <c s="8" r="B955"/>
      <c s="8" r="C955"/>
      <c s="8" r="D955"/>
      <c s="8" r="E955"/>
      <c s="8" r="F955"/>
      <c s="8" r="G955"/>
      <c s="8" r="H955"/>
      <c s="8" r="I955"/>
      <c s="8" r="J955"/>
      <c s="8" r="K955"/>
      <c s="8" r="L955"/>
      <c s="8" r="M955"/>
      <c s="8" r="N955"/>
      <c s="8" r="O955"/>
      <c s="8" r="P955"/>
      <c s="8" r="Q955"/>
      <c s="8" r="R955"/>
      <c s="8" r="S955"/>
      <c s="8" r="T955"/>
      <c s="8" r="U955"/>
      <c s="8" r="V955"/>
      <c s="8" r="W955"/>
      <c s="8" r="X955"/>
      <c s="8" r="Y955"/>
      <c s="8" r="Z955"/>
      <c s="8" r="AA955"/>
    </row>
    <row r="956">
      <c s="8" r="A956"/>
      <c s="8" r="B956"/>
      <c s="8" r="C956"/>
      <c s="8" r="D956"/>
      <c s="8" r="E956"/>
      <c s="8" r="F956"/>
      <c s="8" r="G956"/>
      <c s="8" r="H956"/>
      <c s="8" r="I956"/>
      <c s="8" r="J956"/>
      <c s="8" r="K956"/>
      <c s="8" r="L956"/>
      <c s="8" r="M956"/>
      <c s="8" r="N956"/>
      <c s="8" r="O956"/>
      <c s="8" r="P956"/>
      <c s="8" r="Q956"/>
      <c s="8" r="R956"/>
      <c s="8" r="S956"/>
      <c s="8" r="T956"/>
      <c s="8" r="U956"/>
      <c s="8" r="V956"/>
      <c s="8" r="W956"/>
      <c s="8" r="X956"/>
      <c s="8" r="Y956"/>
      <c s="8" r="Z956"/>
      <c s="8" r="AA956"/>
    </row>
    <row r="957">
      <c s="8" r="A957"/>
      <c s="8" r="B957"/>
      <c s="8" r="C957"/>
      <c s="8" r="D957"/>
      <c s="8" r="E957"/>
      <c s="8" r="F957"/>
      <c s="8" r="G957"/>
      <c s="8" r="H957"/>
      <c s="8" r="I957"/>
      <c s="8" r="J957"/>
      <c s="8" r="K957"/>
      <c s="8" r="L957"/>
      <c s="8" r="M957"/>
      <c s="8" r="N957"/>
      <c s="8" r="O957"/>
      <c s="8" r="P957"/>
      <c s="8" r="Q957"/>
      <c s="8" r="R957"/>
      <c s="8" r="S957"/>
      <c s="8" r="T957"/>
      <c s="8" r="U957"/>
      <c s="8" r="V957"/>
      <c s="8" r="W957"/>
      <c s="8" r="X957"/>
      <c s="8" r="Y957"/>
      <c s="8" r="Z957"/>
      <c s="8" r="AA957"/>
    </row>
    <row r="958">
      <c s="8" r="A958"/>
      <c s="8" r="B958"/>
      <c s="8" r="C958"/>
      <c s="8" r="D958"/>
      <c s="8" r="E958"/>
      <c s="8" r="F958"/>
      <c s="8" r="G958"/>
      <c s="8" r="H958"/>
      <c s="8" r="I958"/>
      <c s="8" r="J958"/>
      <c s="8" r="K958"/>
      <c s="8" r="L958"/>
      <c s="8" r="M958"/>
      <c s="8" r="N958"/>
      <c s="8" r="O958"/>
      <c s="8" r="P958"/>
      <c s="8" r="Q958"/>
      <c s="8" r="R958"/>
      <c s="8" r="S958"/>
      <c s="8" r="T958"/>
      <c s="8" r="U958"/>
      <c s="8" r="V958"/>
      <c s="8" r="W958"/>
      <c s="8" r="X958"/>
      <c s="8" r="Y958"/>
      <c s="8" r="Z958"/>
      <c s="8" r="AA958"/>
    </row>
    <row r="959">
      <c s="8" r="A959"/>
      <c s="8" r="B959"/>
      <c s="8" r="C959"/>
      <c s="8" r="D959"/>
      <c s="8" r="E959"/>
      <c s="8" r="F959"/>
      <c s="8" r="G959"/>
      <c s="8" r="H959"/>
      <c s="8" r="I959"/>
      <c s="8" r="J959"/>
      <c s="8" r="K959"/>
      <c s="8" r="L959"/>
      <c s="8" r="M959"/>
      <c s="8" r="N959"/>
      <c s="8" r="O959"/>
      <c s="8" r="P959"/>
      <c s="8" r="Q959"/>
      <c s="8" r="R959"/>
      <c s="8" r="S959"/>
      <c s="8" r="T959"/>
      <c s="8" r="U959"/>
      <c s="8" r="V959"/>
      <c s="8" r="W959"/>
      <c s="8" r="X959"/>
      <c s="8" r="Y959"/>
      <c s="8" r="Z959"/>
      <c s="8" r="AA959"/>
    </row>
    <row r="960">
      <c s="8" r="A960"/>
      <c s="8" r="B960"/>
      <c s="8" r="C960"/>
      <c s="8" r="D960"/>
      <c s="8" r="E960"/>
      <c s="8" r="F960"/>
      <c s="8" r="G960"/>
      <c s="8" r="H960"/>
      <c s="8" r="I960"/>
      <c s="8" r="J960"/>
      <c s="8" r="K960"/>
      <c s="8" r="L960"/>
      <c s="8" r="M960"/>
      <c s="8" r="N960"/>
      <c s="8" r="O960"/>
      <c s="8" r="P960"/>
      <c s="8" r="Q960"/>
      <c s="8" r="R960"/>
      <c s="8" r="S960"/>
      <c s="8" r="T960"/>
      <c s="8" r="U960"/>
      <c s="8" r="V960"/>
      <c s="8" r="W960"/>
      <c s="8" r="X960"/>
      <c s="8" r="Y960"/>
      <c s="8" r="Z960"/>
      <c s="8" r="AA960"/>
    </row>
    <row r="961">
      <c s="8" r="A961"/>
      <c s="8" r="B961"/>
      <c s="8" r="C961"/>
      <c s="8" r="D961"/>
      <c s="8" r="E961"/>
      <c s="8" r="F961"/>
      <c s="8" r="G961"/>
      <c s="8" r="H961"/>
      <c s="8" r="I961"/>
      <c s="8" r="J961"/>
      <c s="8" r="K961"/>
      <c s="8" r="L961"/>
      <c s="8" r="M961"/>
      <c s="8" r="N961"/>
      <c s="8" r="O961"/>
      <c s="8" r="P961"/>
      <c s="8" r="Q961"/>
      <c s="8" r="R961"/>
      <c s="8" r="S961"/>
      <c s="8" r="T961"/>
      <c s="8" r="U961"/>
      <c s="8" r="V961"/>
      <c s="8" r="W961"/>
      <c s="8" r="X961"/>
      <c s="8" r="Y961"/>
      <c s="8" r="Z961"/>
      <c s="8" r="AA961"/>
    </row>
    <row r="962">
      <c s="8" r="A962"/>
      <c s="8" r="B962"/>
      <c s="8" r="C962"/>
      <c s="8" r="D962"/>
      <c s="8" r="E962"/>
      <c s="8" r="F962"/>
      <c s="8" r="G962"/>
      <c s="8" r="H962"/>
      <c s="8" r="I962"/>
      <c s="8" r="J962"/>
      <c s="8" r="K962"/>
      <c s="8" r="L962"/>
      <c s="8" r="M962"/>
      <c s="8" r="N962"/>
      <c s="8" r="O962"/>
      <c s="8" r="P962"/>
      <c s="8" r="Q962"/>
      <c s="8" r="R962"/>
      <c s="8" r="S962"/>
      <c s="8" r="T962"/>
      <c s="8" r="U962"/>
      <c s="8" r="V962"/>
      <c s="8" r="W962"/>
      <c s="8" r="X962"/>
      <c s="8" r="Y962"/>
      <c s="8" r="Z962"/>
      <c s="8" r="AA962"/>
    </row>
    <row r="963">
      <c s="8" r="A963"/>
      <c s="8" r="B963"/>
      <c s="8" r="C963"/>
      <c s="8" r="D963"/>
      <c s="8" r="E963"/>
      <c s="8" r="F963"/>
      <c s="8" r="G963"/>
      <c s="8" r="H963"/>
      <c s="8" r="I963"/>
      <c s="8" r="J963"/>
      <c s="8" r="K963"/>
      <c s="8" r="L963"/>
      <c s="8" r="M963"/>
      <c s="8" r="N963"/>
      <c s="8" r="O963"/>
      <c s="8" r="P963"/>
      <c s="8" r="Q963"/>
      <c s="8" r="R963"/>
      <c s="8" r="S963"/>
      <c s="8" r="T963"/>
      <c s="8" r="U963"/>
      <c s="8" r="V963"/>
      <c s="8" r="W963"/>
      <c s="8" r="X963"/>
      <c s="8" r="Y963"/>
      <c s="8" r="Z963"/>
      <c s="8" r="AA963"/>
    </row>
    <row r="964">
      <c s="8" r="A964"/>
      <c s="8" r="B964"/>
      <c s="8" r="C964"/>
      <c s="8" r="D964"/>
      <c s="8" r="E964"/>
      <c s="8" r="F964"/>
      <c s="8" r="G964"/>
      <c s="8" r="H964"/>
      <c s="8" r="I964"/>
      <c s="8" r="J964"/>
      <c s="8" r="K964"/>
      <c s="8" r="L964"/>
      <c s="8" r="M964"/>
      <c s="8" r="N964"/>
      <c s="8" r="O964"/>
      <c s="8" r="P964"/>
      <c s="8" r="Q964"/>
      <c s="8" r="R964"/>
      <c s="8" r="S964"/>
      <c s="8" r="T964"/>
      <c s="8" r="U964"/>
      <c s="8" r="V964"/>
      <c s="8" r="W964"/>
      <c s="8" r="X964"/>
      <c s="8" r="Y964"/>
      <c s="8" r="Z964"/>
      <c s="8" r="AA964"/>
    </row>
    <row r="965">
      <c s="8" r="A965"/>
      <c s="8" r="B965"/>
      <c s="8" r="C965"/>
      <c s="8" r="D965"/>
      <c s="8" r="E965"/>
      <c s="8" r="F965"/>
      <c s="8" r="G965"/>
      <c s="8" r="H965"/>
      <c s="8" r="I965"/>
      <c s="8" r="J965"/>
      <c s="8" r="K965"/>
      <c s="8" r="L965"/>
      <c s="8" r="M965"/>
      <c s="8" r="N965"/>
      <c s="8" r="O965"/>
      <c s="8" r="P965"/>
      <c s="8" r="Q965"/>
      <c s="8" r="R965"/>
      <c s="8" r="S965"/>
      <c s="8" r="T965"/>
      <c s="8" r="U965"/>
      <c s="8" r="V965"/>
      <c s="8" r="W965"/>
      <c s="8" r="X965"/>
      <c s="8" r="Y965"/>
      <c s="8" r="Z965"/>
      <c s="8" r="AA965"/>
    </row>
    <row r="966">
      <c s="8" r="A966"/>
      <c s="8" r="B966"/>
      <c s="8" r="C966"/>
      <c s="8" r="D966"/>
      <c s="8" r="E966"/>
      <c s="8" r="F966"/>
      <c s="8" r="G966"/>
      <c s="8" r="H966"/>
      <c s="8" r="I966"/>
      <c s="8" r="J966"/>
      <c s="8" r="K966"/>
      <c s="8" r="L966"/>
      <c s="8" r="M966"/>
      <c s="8" r="N966"/>
      <c s="8" r="O966"/>
      <c s="8" r="P966"/>
      <c s="8" r="Q966"/>
      <c s="8" r="R966"/>
      <c s="8" r="S966"/>
      <c s="8" r="T966"/>
      <c s="8" r="U966"/>
      <c s="8" r="V966"/>
      <c s="8" r="W966"/>
      <c s="8" r="X966"/>
      <c s="8" r="Y966"/>
      <c s="8" r="Z966"/>
      <c s="8" r="AA966"/>
    </row>
    <row r="967">
      <c s="8" r="A967"/>
      <c s="8" r="B967"/>
      <c s="8" r="C967"/>
      <c s="8" r="D967"/>
      <c s="8" r="E967"/>
      <c s="8" r="F967"/>
      <c s="8" r="G967"/>
      <c s="8" r="H967"/>
      <c s="8" r="I967"/>
      <c s="8" r="J967"/>
      <c s="8" r="K967"/>
      <c s="8" r="L967"/>
      <c s="8" r="M967"/>
      <c s="8" r="N967"/>
      <c s="8" r="O967"/>
      <c s="8" r="P967"/>
      <c s="8" r="Q967"/>
      <c s="8" r="R967"/>
      <c s="8" r="S967"/>
      <c s="8" r="T967"/>
      <c s="8" r="U967"/>
      <c s="8" r="V967"/>
      <c s="8" r="W967"/>
      <c s="8" r="X967"/>
      <c s="8" r="Y967"/>
      <c s="8" r="Z967"/>
      <c s="8" r="AA967"/>
    </row>
    <row r="968">
      <c s="8" r="A968"/>
      <c s="8" r="B968"/>
      <c s="8" r="C968"/>
      <c s="8" r="D968"/>
      <c s="8" r="E968"/>
      <c s="8" r="F968"/>
      <c s="8" r="G968"/>
      <c s="8" r="H968"/>
      <c s="8" r="I968"/>
      <c s="8" r="J968"/>
      <c s="8" r="K968"/>
      <c s="8" r="L968"/>
      <c s="8" r="M968"/>
      <c s="8" r="N968"/>
      <c s="8" r="O968"/>
      <c s="8" r="P968"/>
      <c s="8" r="Q968"/>
      <c s="8" r="R968"/>
      <c s="8" r="S968"/>
      <c s="8" r="T968"/>
      <c s="8" r="U968"/>
      <c s="8" r="V968"/>
      <c s="8" r="W968"/>
      <c s="8" r="X968"/>
      <c s="8" r="Y968"/>
      <c s="8" r="Z968"/>
      <c s="8" r="AA968"/>
    </row>
    <row r="969">
      <c s="8" r="A969"/>
      <c s="8" r="B969"/>
      <c s="8" r="C969"/>
      <c s="8" r="D969"/>
      <c s="8" r="E969"/>
      <c s="8" r="F969"/>
      <c s="8" r="G969"/>
      <c s="8" r="H969"/>
      <c s="8" r="I969"/>
      <c s="8" r="J969"/>
      <c s="8" r="K969"/>
      <c s="8" r="L969"/>
      <c s="8" r="M969"/>
      <c s="8" r="N969"/>
      <c s="8" r="O969"/>
      <c s="8" r="P969"/>
      <c s="8" r="Q969"/>
      <c s="8" r="R969"/>
      <c s="8" r="S969"/>
      <c s="8" r="T969"/>
      <c s="8" r="U969"/>
      <c s="8" r="V969"/>
      <c s="8" r="W969"/>
      <c s="8" r="X969"/>
      <c s="8" r="Y969"/>
      <c s="8" r="Z969"/>
      <c s="8" r="AA969"/>
    </row>
    <row r="970">
      <c s="8" r="A970"/>
      <c s="8" r="B970"/>
      <c s="8" r="C970"/>
      <c s="8" r="D970"/>
      <c s="8" r="E970"/>
      <c s="8" r="F970"/>
      <c s="8" r="G970"/>
      <c s="8" r="H970"/>
      <c s="8" r="I970"/>
      <c s="8" r="J970"/>
      <c s="8" r="K970"/>
      <c s="8" r="L970"/>
      <c s="8" r="M970"/>
      <c s="8" r="N970"/>
      <c s="8" r="O970"/>
      <c s="8" r="P970"/>
      <c s="8" r="Q970"/>
      <c s="8" r="R970"/>
      <c s="8" r="S970"/>
      <c s="8" r="T970"/>
      <c s="8" r="U970"/>
      <c s="8" r="V970"/>
      <c s="8" r="W970"/>
      <c s="8" r="X970"/>
      <c s="8" r="Y970"/>
      <c s="8" r="Z970"/>
      <c s="8" r="AA970"/>
    </row>
    <row r="971">
      <c s="8" r="A971"/>
      <c s="8" r="B971"/>
      <c s="8" r="C971"/>
      <c s="8" r="D971"/>
      <c s="8" r="E971"/>
      <c s="8" r="F971"/>
      <c s="8" r="G971"/>
      <c s="8" r="H971"/>
      <c s="8" r="I971"/>
      <c s="8" r="J971"/>
      <c s="8" r="K971"/>
      <c s="8" r="L971"/>
      <c s="8" r="M971"/>
      <c s="8" r="N971"/>
      <c s="8" r="O971"/>
      <c s="8" r="P971"/>
      <c s="8" r="Q971"/>
      <c s="8" r="R971"/>
      <c s="8" r="S971"/>
      <c s="8" r="T971"/>
      <c s="8" r="U971"/>
      <c s="8" r="V971"/>
      <c s="8" r="W971"/>
      <c s="8" r="X971"/>
      <c s="8" r="Y971"/>
      <c s="8" r="Z971"/>
      <c s="8" r="AA971"/>
    </row>
    <row r="972">
      <c s="8" r="A972"/>
      <c s="8" r="B972"/>
      <c s="8" r="C972"/>
      <c s="8" r="D972"/>
      <c s="8" r="E972"/>
      <c s="8" r="F972"/>
      <c s="8" r="G972"/>
      <c s="8" r="H972"/>
      <c s="8" r="I972"/>
      <c s="8" r="J972"/>
      <c s="8" r="K972"/>
      <c s="8" r="L972"/>
      <c s="8" r="M972"/>
      <c s="8" r="N972"/>
      <c s="8" r="O972"/>
      <c s="8" r="P972"/>
      <c s="8" r="Q972"/>
      <c s="8" r="R972"/>
      <c s="8" r="S972"/>
      <c s="8" r="T972"/>
      <c s="8" r="U972"/>
      <c s="8" r="V972"/>
      <c s="8" r="W972"/>
      <c s="8" r="X972"/>
      <c s="8" r="Y972"/>
      <c s="8" r="Z972"/>
      <c s="8" r="AA972"/>
    </row>
    <row r="973">
      <c s="8" r="A973"/>
      <c s="8" r="B973"/>
      <c s="8" r="C973"/>
      <c s="8" r="D973"/>
      <c s="8" r="E973"/>
      <c s="8" r="F973"/>
      <c s="8" r="G973"/>
      <c s="8" r="H973"/>
      <c s="8" r="I973"/>
      <c s="8" r="J973"/>
      <c s="8" r="K973"/>
      <c s="8" r="L973"/>
      <c s="8" r="M973"/>
      <c s="8" r="N973"/>
      <c s="8" r="O973"/>
      <c s="8" r="P973"/>
      <c s="8" r="Q973"/>
      <c s="8" r="R973"/>
      <c s="8" r="S973"/>
      <c s="8" r="T973"/>
      <c s="8" r="U973"/>
      <c s="8" r="V973"/>
      <c s="8" r="W973"/>
      <c s="8" r="X973"/>
      <c s="8" r="Y973"/>
      <c s="8" r="Z973"/>
      <c s="8" r="AA973"/>
    </row>
    <row r="974">
      <c s="8" r="A974"/>
      <c s="8" r="B974"/>
      <c s="8" r="C974"/>
      <c s="8" r="D974"/>
      <c s="8" r="E974"/>
      <c s="8" r="F974"/>
      <c s="8" r="G974"/>
      <c s="8" r="H974"/>
      <c s="8" r="I974"/>
      <c s="8" r="J974"/>
      <c s="8" r="K974"/>
      <c s="8" r="L974"/>
      <c s="8" r="M974"/>
      <c s="8" r="N974"/>
      <c s="8" r="O974"/>
      <c s="8" r="P974"/>
      <c s="8" r="Q974"/>
      <c s="8" r="R974"/>
      <c s="8" r="S974"/>
      <c s="8" r="T974"/>
      <c s="8" r="U974"/>
      <c s="8" r="V974"/>
      <c s="8" r="W974"/>
      <c s="8" r="X974"/>
      <c s="8" r="Y974"/>
      <c s="8" r="Z974"/>
      <c s="8" r="AA974"/>
    </row>
    <row r="975">
      <c s="8" r="A975"/>
      <c s="8" r="B975"/>
      <c s="8" r="C975"/>
      <c s="8" r="D975"/>
      <c s="8" r="E975"/>
      <c s="8" r="F975"/>
      <c s="8" r="G975"/>
      <c s="8" r="H975"/>
      <c s="8" r="I975"/>
      <c s="8" r="J975"/>
      <c s="8" r="K975"/>
      <c s="8" r="L975"/>
      <c s="8" r="M975"/>
      <c s="8" r="N975"/>
      <c s="8" r="O975"/>
      <c s="8" r="P975"/>
      <c s="8" r="Q975"/>
      <c s="8" r="R975"/>
      <c s="8" r="S975"/>
      <c s="8" r="T975"/>
      <c s="8" r="U975"/>
      <c s="8" r="V975"/>
      <c s="8" r="W975"/>
      <c s="8" r="X975"/>
      <c s="8" r="Y975"/>
      <c s="8" r="Z975"/>
      <c s="8" r="AA975"/>
    </row>
    <row r="976">
      <c s="8" r="A976"/>
      <c s="8" r="B976"/>
      <c s="8" r="C976"/>
      <c s="8" r="D976"/>
      <c s="8" r="E976"/>
      <c s="8" r="F976"/>
      <c s="8" r="G976"/>
      <c s="8" r="H976"/>
      <c s="8" r="I976"/>
      <c s="8" r="J976"/>
      <c s="8" r="K976"/>
      <c s="8" r="L976"/>
      <c s="8" r="M976"/>
      <c s="8" r="N976"/>
      <c s="8" r="O976"/>
      <c s="8" r="P976"/>
      <c s="8" r="Q976"/>
      <c s="8" r="R976"/>
      <c s="8" r="S976"/>
      <c s="8" r="T976"/>
      <c s="8" r="U976"/>
      <c s="8" r="V976"/>
      <c s="8" r="W976"/>
      <c s="8" r="X976"/>
      <c s="8" r="Y976"/>
      <c s="8" r="Z976"/>
      <c s="8" r="AA976"/>
    </row>
    <row r="977">
      <c s="8" r="A977"/>
      <c s="8" r="B977"/>
      <c s="8" r="C977"/>
      <c s="8" r="D977"/>
      <c s="8" r="E977"/>
      <c s="8" r="F977"/>
      <c s="8" r="G977"/>
      <c s="8" r="H977"/>
      <c s="8" r="I977"/>
      <c s="8" r="J977"/>
      <c s="8" r="K977"/>
      <c s="8" r="L977"/>
      <c s="8" r="M977"/>
      <c s="8" r="N977"/>
      <c s="8" r="O977"/>
      <c s="8" r="P977"/>
      <c s="8" r="Q977"/>
      <c s="8" r="R977"/>
      <c s="8" r="S977"/>
      <c s="8" r="T977"/>
      <c s="8" r="U977"/>
      <c s="8" r="V977"/>
      <c s="8" r="W977"/>
      <c s="8" r="X977"/>
      <c s="8" r="Y977"/>
      <c s="8" r="Z977"/>
      <c s="8" r="AA977"/>
    </row>
    <row r="978">
      <c s="8" r="A978"/>
      <c s="8" r="B978"/>
      <c s="8" r="C978"/>
      <c s="8" r="D978"/>
      <c s="8" r="E978"/>
      <c s="8" r="F978"/>
      <c s="8" r="G978"/>
      <c s="8" r="H978"/>
      <c s="8" r="I978"/>
      <c s="8" r="J978"/>
      <c s="8" r="K978"/>
      <c s="8" r="L978"/>
      <c s="8" r="M978"/>
      <c s="8" r="N978"/>
      <c s="8" r="O978"/>
      <c s="8" r="P978"/>
      <c s="8" r="Q978"/>
      <c s="8" r="R978"/>
      <c s="8" r="S978"/>
      <c s="8" r="T978"/>
      <c s="8" r="U978"/>
      <c s="8" r="V978"/>
      <c s="8" r="W978"/>
      <c s="8" r="X978"/>
      <c s="8" r="Y978"/>
      <c s="8" r="Z978"/>
      <c s="8" r="AA978"/>
    </row>
    <row r="979">
      <c s="8" r="A979"/>
      <c s="8" r="B979"/>
      <c s="8" r="C979"/>
      <c s="8" r="D979"/>
      <c s="8" r="E979"/>
      <c s="8" r="F979"/>
      <c s="8" r="G979"/>
      <c s="8" r="H979"/>
      <c s="8" r="I979"/>
      <c s="8" r="J979"/>
      <c s="8" r="K979"/>
      <c s="8" r="L979"/>
      <c s="8" r="M979"/>
      <c s="8" r="N979"/>
      <c s="8" r="O979"/>
      <c s="8" r="P979"/>
      <c s="8" r="Q979"/>
      <c s="8" r="R979"/>
      <c s="8" r="S979"/>
      <c s="8" r="T979"/>
      <c s="8" r="U979"/>
      <c s="8" r="V979"/>
      <c s="8" r="W979"/>
      <c s="8" r="X979"/>
      <c s="8" r="Y979"/>
      <c s="8" r="Z979"/>
      <c s="8" r="AA979"/>
    </row>
    <row r="980">
      <c s="8" r="A980"/>
      <c s="8" r="B980"/>
      <c s="8" r="C980"/>
      <c s="8" r="D980"/>
      <c s="8" r="E980"/>
      <c s="8" r="F980"/>
      <c s="8" r="G980"/>
      <c s="8" r="H980"/>
      <c s="8" r="I980"/>
      <c s="8" r="J980"/>
      <c s="8" r="K980"/>
      <c s="8" r="L980"/>
      <c s="8" r="M980"/>
      <c s="8" r="N980"/>
      <c s="8" r="O980"/>
      <c s="8" r="P980"/>
      <c s="8" r="Q980"/>
      <c s="8" r="R980"/>
      <c s="8" r="S980"/>
      <c s="8" r="T980"/>
      <c s="8" r="U980"/>
      <c s="8" r="V980"/>
      <c s="8" r="W980"/>
      <c s="8" r="X980"/>
      <c s="8" r="Y980"/>
      <c s="8" r="Z980"/>
      <c s="8" r="AA980"/>
    </row>
    <row r="981">
      <c s="8" r="A981"/>
      <c s="8" r="B981"/>
      <c s="8" r="C981"/>
      <c s="8" r="D981"/>
      <c s="8" r="E981"/>
      <c s="8" r="F981"/>
      <c s="8" r="G981"/>
      <c s="8" r="H981"/>
      <c s="8" r="I981"/>
      <c s="8" r="J981"/>
      <c s="8" r="K981"/>
      <c s="8" r="L981"/>
      <c s="8" r="M981"/>
      <c s="8" r="N981"/>
      <c s="8" r="O981"/>
      <c s="8" r="P981"/>
      <c s="8" r="Q981"/>
      <c s="8" r="R981"/>
      <c s="8" r="S981"/>
      <c s="8" r="T981"/>
      <c s="8" r="U981"/>
      <c s="8" r="V981"/>
      <c s="8" r="W981"/>
      <c s="8" r="X981"/>
      <c s="8" r="Y981"/>
      <c s="8" r="Z981"/>
      <c s="8" r="AA981"/>
    </row>
    <row r="982">
      <c s="8" r="A982"/>
      <c s="8" r="B982"/>
      <c s="8" r="C982"/>
      <c s="8" r="D982"/>
      <c s="8" r="E982"/>
      <c s="8" r="F982"/>
      <c s="8" r="G982"/>
      <c s="8" r="H982"/>
      <c s="8" r="I982"/>
      <c s="8" r="J982"/>
      <c s="8" r="K982"/>
      <c s="8" r="L982"/>
      <c s="8" r="M982"/>
      <c s="8" r="N982"/>
      <c s="8" r="O982"/>
      <c s="8" r="P982"/>
      <c s="8" r="Q982"/>
      <c s="8" r="R982"/>
      <c s="8" r="S982"/>
      <c s="8" r="T982"/>
      <c s="8" r="U982"/>
      <c s="8" r="V982"/>
      <c s="8" r="W982"/>
      <c s="8" r="X982"/>
      <c s="8" r="Y982"/>
      <c s="8" r="Z982"/>
      <c s="8" r="AA982"/>
    </row>
    <row r="983">
      <c s="8" r="A983"/>
      <c s="8" r="B983"/>
      <c s="8" r="C983"/>
      <c s="8" r="D983"/>
      <c s="8" r="E983"/>
      <c s="8" r="F983"/>
      <c s="8" r="G983"/>
      <c s="8" r="H983"/>
      <c s="8" r="I983"/>
      <c s="8" r="J983"/>
      <c s="8" r="K983"/>
      <c s="8" r="L983"/>
      <c s="8" r="M983"/>
      <c s="8" r="N983"/>
      <c s="8" r="O983"/>
      <c s="8" r="P983"/>
      <c s="8" r="Q983"/>
      <c s="8" r="R983"/>
      <c s="8" r="S983"/>
      <c s="8" r="T983"/>
      <c s="8" r="U983"/>
      <c s="8" r="V983"/>
      <c s="8" r="W983"/>
      <c s="8" r="X983"/>
      <c s="8" r="Y983"/>
      <c s="8" r="Z983"/>
      <c s="8" r="AA983"/>
    </row>
    <row r="984">
      <c s="8" r="A984"/>
      <c s="8" r="B984"/>
      <c s="8" r="C984"/>
      <c s="8" r="D984"/>
      <c s="8" r="E984"/>
      <c s="8" r="F984"/>
      <c s="8" r="G984"/>
      <c s="8" r="H984"/>
      <c s="8" r="I984"/>
      <c s="8" r="J984"/>
      <c s="8" r="K984"/>
      <c s="8" r="L984"/>
      <c s="8" r="M984"/>
      <c s="8" r="N984"/>
      <c s="8" r="O984"/>
      <c s="8" r="P984"/>
      <c s="8" r="Q984"/>
      <c s="8" r="R984"/>
      <c s="8" r="S984"/>
      <c s="8" r="T984"/>
      <c s="8" r="U984"/>
      <c s="8" r="V984"/>
      <c s="8" r="W984"/>
      <c s="8" r="X984"/>
      <c s="8" r="Y984"/>
      <c s="8" r="Z984"/>
      <c s="8" r="AA984"/>
    </row>
    <row r="985">
      <c s="8" r="A985"/>
      <c s="8" r="B985"/>
      <c s="8" r="C985"/>
      <c s="8" r="D985"/>
      <c s="8" r="E985"/>
      <c s="8" r="F985"/>
      <c s="8" r="G985"/>
      <c s="8" r="H985"/>
      <c s="8" r="I985"/>
      <c s="8" r="J985"/>
      <c s="8" r="K985"/>
      <c s="8" r="L985"/>
      <c s="8" r="M985"/>
      <c s="8" r="N985"/>
      <c s="8" r="O985"/>
      <c s="8" r="P985"/>
      <c s="8" r="Q985"/>
      <c s="8" r="R985"/>
      <c s="8" r="S985"/>
      <c s="8" r="T985"/>
      <c s="8" r="U985"/>
      <c s="8" r="V985"/>
      <c s="8" r="W985"/>
      <c s="8" r="X985"/>
      <c s="8" r="Y985"/>
      <c s="8" r="Z985"/>
      <c s="8" r="AA985"/>
    </row>
    <row r="986">
      <c s="8" r="A986"/>
      <c s="8" r="B986"/>
      <c s="8" r="C986"/>
      <c s="8" r="D986"/>
      <c s="8" r="E986"/>
      <c s="8" r="F986"/>
      <c s="8" r="G986"/>
      <c s="8" r="H986"/>
      <c s="8" r="I986"/>
      <c s="8" r="J986"/>
      <c s="8" r="K986"/>
      <c s="8" r="L986"/>
      <c s="8" r="M986"/>
      <c s="8" r="N986"/>
      <c s="8" r="O986"/>
      <c s="8" r="P986"/>
      <c s="8" r="Q986"/>
      <c s="8" r="R986"/>
      <c s="8" r="S986"/>
      <c s="8" r="T986"/>
      <c s="8" r="U986"/>
      <c s="8" r="V986"/>
      <c s="8" r="W986"/>
      <c s="8" r="X986"/>
      <c s="8" r="Y986"/>
      <c s="8" r="Z986"/>
      <c s="8" r="AA986"/>
    </row>
    <row r="987">
      <c s="8" r="A987"/>
      <c s="8" r="B987"/>
      <c s="8" r="C987"/>
      <c s="8" r="D987"/>
      <c s="8" r="E987"/>
      <c s="8" r="F987"/>
      <c s="8" r="G987"/>
      <c s="8" r="H987"/>
      <c s="8" r="I987"/>
      <c s="8" r="J987"/>
      <c s="8" r="K987"/>
      <c s="8" r="L987"/>
      <c s="8" r="M987"/>
      <c s="8" r="N987"/>
      <c s="8" r="O987"/>
      <c s="8" r="P987"/>
      <c s="8" r="Q987"/>
      <c s="8" r="R987"/>
      <c s="8" r="S987"/>
      <c s="8" r="T987"/>
      <c s="8" r="U987"/>
      <c s="8" r="V987"/>
      <c s="8" r="W987"/>
      <c s="8" r="X987"/>
      <c s="8" r="Y987"/>
      <c s="8" r="Z987"/>
      <c s="8" r="AA987"/>
    </row>
    <row r="988">
      <c s="8" r="A988"/>
      <c s="8" r="B988"/>
      <c s="8" r="C988"/>
      <c s="8" r="D988"/>
      <c s="8" r="E988"/>
      <c s="8" r="F988"/>
      <c s="8" r="G988"/>
      <c s="8" r="H988"/>
      <c s="8" r="I988"/>
      <c s="8" r="J988"/>
      <c s="8" r="K988"/>
      <c s="8" r="L988"/>
      <c s="8" r="M988"/>
      <c s="8" r="N988"/>
      <c s="8" r="O988"/>
      <c s="8" r="P988"/>
      <c s="8" r="Q988"/>
      <c s="8" r="R988"/>
      <c s="8" r="S988"/>
      <c s="8" r="T988"/>
      <c s="8" r="U988"/>
      <c s="8" r="V988"/>
      <c s="8" r="W988"/>
      <c s="8" r="X988"/>
      <c s="8" r="Y988"/>
      <c s="8" r="Z988"/>
      <c s="8" r="AA988"/>
    </row>
    <row r="989">
      <c s="8" r="A989"/>
      <c s="8" r="B989"/>
      <c s="8" r="C989"/>
      <c s="8" r="D989"/>
      <c s="8" r="E989"/>
      <c s="8" r="F989"/>
      <c s="8" r="G989"/>
      <c s="8" r="H989"/>
      <c s="8" r="I989"/>
      <c s="8" r="J989"/>
      <c s="8" r="K989"/>
      <c s="8" r="L989"/>
      <c s="8" r="M989"/>
      <c s="8" r="N989"/>
      <c s="8" r="O989"/>
      <c s="8" r="P989"/>
      <c s="8" r="Q989"/>
      <c s="8" r="R989"/>
      <c s="8" r="S989"/>
      <c s="8" r="T989"/>
      <c s="8" r="U989"/>
      <c s="8" r="V989"/>
      <c s="8" r="W989"/>
      <c s="8" r="X989"/>
      <c s="8" r="Y989"/>
      <c s="8" r="Z989"/>
      <c s="8" r="AA989"/>
    </row>
    <row r="990">
      <c s="8" r="A990"/>
      <c s="8" r="B990"/>
      <c s="8" r="C990"/>
      <c s="8" r="D990"/>
      <c s="8" r="E990"/>
      <c s="8" r="F990"/>
      <c s="8" r="G990"/>
      <c s="8" r="H990"/>
      <c s="8" r="I990"/>
      <c s="8" r="J990"/>
      <c s="8" r="K990"/>
      <c s="8" r="L990"/>
      <c s="8" r="M990"/>
      <c s="8" r="N990"/>
      <c s="8" r="O990"/>
      <c s="8" r="P990"/>
      <c s="8" r="Q990"/>
      <c s="8" r="R990"/>
      <c s="8" r="S990"/>
      <c s="8" r="T990"/>
      <c s="8" r="U990"/>
      <c s="8" r="V990"/>
      <c s="8" r="W990"/>
      <c s="8" r="X990"/>
      <c s="8" r="Y990"/>
      <c s="8" r="Z990"/>
      <c s="8" r="AA990"/>
    </row>
    <row r="991">
      <c s="8" r="A991"/>
      <c s="8" r="B991"/>
      <c s="8" r="C991"/>
      <c s="8" r="D991"/>
      <c s="8" r="E991"/>
      <c s="8" r="F991"/>
      <c s="8" r="G991"/>
      <c s="8" r="H991"/>
      <c s="8" r="I991"/>
      <c s="8" r="J991"/>
      <c s="8" r="K991"/>
      <c s="8" r="L991"/>
      <c s="8" r="M991"/>
      <c s="8" r="N991"/>
      <c s="8" r="O991"/>
      <c s="8" r="P991"/>
      <c s="8" r="Q991"/>
      <c s="8" r="R991"/>
      <c s="8" r="S991"/>
      <c s="8" r="T991"/>
      <c s="8" r="U991"/>
      <c s="8" r="V991"/>
      <c s="8" r="W991"/>
      <c s="8" r="X991"/>
      <c s="8" r="Y991"/>
      <c s="8" r="Z991"/>
      <c s="8" r="AA991"/>
    </row>
    <row r="992">
      <c s="8" r="A992"/>
      <c s="8" r="B992"/>
      <c s="8" r="C992"/>
      <c s="8" r="D992"/>
      <c s="8" r="E992"/>
      <c s="8" r="F992"/>
      <c s="8" r="G992"/>
      <c s="8" r="H992"/>
      <c s="8" r="I992"/>
      <c s="8" r="J992"/>
      <c s="8" r="K992"/>
      <c s="8" r="L992"/>
      <c s="8" r="M992"/>
      <c s="8" r="N992"/>
      <c s="8" r="O992"/>
      <c s="8" r="P992"/>
      <c s="8" r="Q992"/>
      <c s="8" r="R992"/>
      <c s="8" r="S992"/>
      <c s="8" r="T992"/>
      <c s="8" r="U992"/>
      <c s="8" r="V992"/>
      <c s="8" r="W992"/>
      <c s="8" r="X992"/>
      <c s="8" r="Y992"/>
      <c s="8" r="Z992"/>
      <c s="8" r="AA992"/>
    </row>
    <row r="993">
      <c s="8" r="A993"/>
      <c s="8" r="B993"/>
      <c s="8" r="C993"/>
      <c s="8" r="D993"/>
      <c s="8" r="E993"/>
      <c s="8" r="F993"/>
      <c s="8" r="G993"/>
      <c s="8" r="H993"/>
      <c s="8" r="I993"/>
      <c s="8" r="J993"/>
      <c s="8" r="K993"/>
      <c s="8" r="L993"/>
      <c s="8" r="M993"/>
      <c s="8" r="N993"/>
      <c s="8" r="O993"/>
      <c s="8" r="P993"/>
      <c s="8" r="Q993"/>
      <c s="8" r="R993"/>
      <c s="8" r="S993"/>
      <c s="8" r="T993"/>
      <c s="8" r="U993"/>
      <c s="8" r="V993"/>
      <c s="8" r="W993"/>
      <c s="8" r="X993"/>
      <c s="8" r="Y993"/>
      <c s="8" r="Z993"/>
      <c s="8" r="AA993"/>
    </row>
    <row r="994">
      <c s="8" r="A994"/>
      <c s="8" r="B994"/>
      <c s="8" r="C994"/>
      <c s="8" r="D994"/>
      <c s="8" r="E994"/>
      <c s="8" r="F994"/>
      <c s="8" r="G994"/>
      <c s="8" r="H994"/>
      <c s="8" r="I994"/>
      <c s="8" r="J994"/>
      <c s="8" r="K994"/>
      <c s="8" r="L994"/>
      <c s="8" r="M994"/>
      <c s="8" r="N994"/>
      <c s="8" r="O994"/>
      <c s="8" r="P994"/>
      <c s="8" r="Q994"/>
      <c s="8" r="R994"/>
      <c s="8" r="S994"/>
      <c s="8" r="T994"/>
      <c s="8" r="U994"/>
      <c s="8" r="V994"/>
      <c s="8" r="W994"/>
      <c s="8" r="X994"/>
      <c s="8" r="Y994"/>
      <c s="8" r="Z994"/>
      <c s="8" r="AA994"/>
    </row>
    <row r="995">
      <c s="8" r="A995"/>
      <c s="8" r="B995"/>
      <c s="8" r="C995"/>
      <c s="8" r="D995"/>
      <c s="8" r="E995"/>
      <c s="8" r="F995"/>
      <c s="8" r="G995"/>
      <c s="8" r="H995"/>
      <c s="8" r="I995"/>
      <c s="8" r="J995"/>
      <c s="8" r="K995"/>
      <c s="8" r="L995"/>
      <c s="8" r="M995"/>
      <c s="8" r="N995"/>
      <c s="8" r="O995"/>
      <c s="8" r="P995"/>
      <c s="8" r="Q995"/>
      <c s="8" r="R995"/>
      <c s="8" r="S995"/>
      <c s="8" r="T995"/>
      <c s="8" r="U995"/>
      <c s="8" r="V995"/>
      <c s="8" r="W995"/>
      <c s="8" r="X995"/>
      <c s="8" r="Y995"/>
      <c s="8" r="Z995"/>
      <c s="8" r="AA995"/>
    </row>
    <row r="996">
      <c s="8" r="A996"/>
      <c s="8" r="B996"/>
      <c s="8" r="C996"/>
      <c s="8" r="D996"/>
      <c s="8" r="E996"/>
      <c s="8" r="F996"/>
      <c s="8" r="G996"/>
      <c s="8" r="H996"/>
      <c s="8" r="I996"/>
      <c s="8" r="J996"/>
      <c s="8" r="K996"/>
      <c s="8" r="L996"/>
      <c s="8" r="M996"/>
      <c s="8" r="N996"/>
      <c s="8" r="O996"/>
      <c s="8" r="P996"/>
      <c s="8" r="Q996"/>
      <c s="8" r="R996"/>
      <c s="8" r="S996"/>
      <c s="8" r="T996"/>
      <c s="8" r="U996"/>
      <c s="8" r="V996"/>
      <c s="8" r="W996"/>
      <c s="8" r="X996"/>
      <c s="8" r="Y996"/>
      <c s="8" r="Z996"/>
      <c s="8" r="AA996"/>
    </row>
    <row r="997">
      <c s="8" r="A997"/>
      <c s="8" r="B997"/>
      <c s="8" r="C997"/>
      <c s="8" r="D997"/>
      <c s="8" r="E997"/>
      <c s="8" r="F997"/>
      <c s="8" r="G997"/>
      <c s="8" r="H997"/>
      <c s="8" r="I997"/>
      <c s="8" r="J997"/>
      <c s="8" r="K997"/>
      <c s="8" r="L997"/>
      <c s="8" r="M997"/>
      <c s="8" r="N997"/>
      <c s="8" r="O997"/>
      <c s="8" r="P997"/>
      <c s="8" r="Q997"/>
      <c s="8" r="R997"/>
      <c s="8" r="S997"/>
      <c s="8" r="T997"/>
      <c s="8" r="U997"/>
      <c s="8" r="V997"/>
      <c s="8" r="W997"/>
      <c s="8" r="X997"/>
      <c s="8" r="Y997"/>
      <c s="8" r="Z997"/>
      <c s="8" r="AA997"/>
    </row>
    <row r="998">
      <c s="8" r="A998"/>
      <c s="8" r="B998"/>
      <c s="8" r="C998"/>
      <c s="8" r="D998"/>
      <c s="8" r="E998"/>
      <c s="8" r="F998"/>
      <c s="8" r="G998"/>
      <c s="8" r="H998"/>
      <c s="8" r="I998"/>
      <c s="8" r="J998"/>
      <c s="8" r="K998"/>
      <c s="8" r="L998"/>
      <c s="8" r="M998"/>
      <c s="8" r="N998"/>
      <c s="8" r="O998"/>
      <c s="8" r="P998"/>
      <c s="8" r="Q998"/>
      <c s="8" r="R998"/>
      <c s="8" r="S998"/>
      <c s="8" r="T998"/>
      <c s="8" r="U998"/>
      <c s="8" r="V998"/>
      <c s="8" r="W998"/>
      <c s="8" r="X998"/>
      <c s="8" r="Y998"/>
      <c s="8" r="Z998"/>
      <c s="8" r="AA998"/>
    </row>
    <row r="999">
      <c s="8" r="A999"/>
      <c s="8" r="B999"/>
      <c s="8" r="C999"/>
      <c s="8" r="D999"/>
      <c s="8" r="E999"/>
      <c s="8" r="F999"/>
      <c s="8" r="G999"/>
      <c s="8" r="H999"/>
      <c s="8" r="I999"/>
      <c s="8" r="J999"/>
      <c s="8" r="K999"/>
      <c s="8" r="L999"/>
      <c s="8" r="M999"/>
      <c s="8" r="N999"/>
      <c s="8" r="O999"/>
      <c s="8" r="P999"/>
      <c s="8" r="Q999"/>
      <c s="8" r="R999"/>
      <c s="8" r="S999"/>
      <c s="8" r="T999"/>
      <c s="8" r="U999"/>
      <c s="8" r="V999"/>
      <c s="8" r="W999"/>
      <c s="8" r="X999"/>
      <c s="8" r="Y999"/>
      <c s="8" r="Z999"/>
      <c s="8" r="AA999"/>
    </row>
    <row r="1000">
      <c s="8" r="A1000"/>
      <c s="8" r="B1000"/>
      <c s="8" r="C1000"/>
      <c s="8" r="D1000"/>
      <c s="8" r="E1000"/>
      <c s="8" r="F1000"/>
      <c s="8" r="G1000"/>
      <c s="8" r="H1000"/>
      <c s="8" r="I1000"/>
      <c s="8" r="J1000"/>
      <c s="8" r="K1000"/>
      <c s="8" r="L1000"/>
      <c s="8" r="M1000"/>
      <c s="8" r="N1000"/>
      <c s="8" r="O1000"/>
      <c s="8" r="P1000"/>
      <c s="8" r="Q1000"/>
      <c s="8" r="R1000"/>
      <c s="8" r="S1000"/>
      <c s="8" r="T1000"/>
      <c s="8" r="U1000"/>
      <c s="8" r="V1000"/>
      <c s="8" r="W1000"/>
      <c s="8" r="X1000"/>
      <c s="8" r="Y1000"/>
      <c s="8" r="Z1000"/>
      <c s="8" r="AA1000"/>
    </row>
    <row r="1001">
      <c s="8" r="A1001"/>
      <c s="8" r="B1001"/>
      <c s="8" r="C1001"/>
      <c s="8" r="D1001"/>
      <c s="8" r="E1001"/>
      <c s="8" r="F1001"/>
      <c s="8" r="G1001"/>
      <c s="8" r="H1001"/>
      <c s="8" r="I1001"/>
      <c s="8" r="J1001"/>
      <c s="8" r="K1001"/>
      <c s="8" r="L1001"/>
      <c s="8" r="M1001"/>
      <c s="8" r="N1001"/>
      <c s="8" r="O1001"/>
      <c s="8" r="P1001"/>
      <c s="8" r="Q1001"/>
      <c s="8" r="R1001"/>
      <c s="8" r="S1001"/>
      <c s="8" r="T1001"/>
      <c s="8" r="U1001"/>
      <c s="8" r="V1001"/>
      <c s="8" r="W1001"/>
      <c s="8" r="X1001"/>
      <c s="8" r="Y1001"/>
      <c s="8" r="Z1001"/>
      <c s="8" r="AA1001"/>
    </row>
    <row r="1002">
      <c s="8" r="A1002"/>
      <c s="8" r="B1002"/>
      <c s="8" r="C1002"/>
      <c s="8" r="D1002"/>
      <c s="8" r="E1002"/>
      <c s="8" r="F1002"/>
      <c s="8" r="G1002"/>
      <c s="8" r="H1002"/>
      <c s="8" r="I1002"/>
      <c s="8" r="J1002"/>
      <c s="8" r="K1002"/>
      <c s="8" r="L1002"/>
      <c s="8" r="M1002"/>
      <c s="8" r="N1002"/>
      <c s="8" r="O1002"/>
      <c s="8" r="P1002"/>
      <c s="8" r="Q1002"/>
      <c s="8" r="R1002"/>
      <c s="8" r="S1002"/>
      <c s="8" r="T1002"/>
      <c s="8" r="U1002"/>
      <c s="8" r="V1002"/>
      <c s="8" r="W1002"/>
      <c s="8" r="X1002"/>
      <c s="8" r="Y1002"/>
      <c s="8" r="Z1002"/>
      <c s="8" r="AA1002"/>
    </row>
    <row r="1003">
      <c s="8" r="A1003"/>
      <c s="8" r="B1003"/>
      <c s="8" r="C1003"/>
      <c s="8" r="D1003"/>
      <c s="8" r="E1003"/>
      <c s="8" r="F1003"/>
      <c s="8" r="G1003"/>
      <c s="8" r="H1003"/>
      <c s="8" r="I1003"/>
      <c s="8" r="J1003"/>
      <c s="8" r="K1003"/>
      <c s="8" r="L1003"/>
      <c s="8" r="M1003"/>
      <c s="8" r="N1003"/>
      <c s="8" r="O1003"/>
      <c s="8" r="P1003"/>
      <c s="8" r="Q1003"/>
      <c s="8" r="R1003"/>
      <c s="8" r="S1003"/>
      <c s="8" r="T1003"/>
      <c s="8" r="U1003"/>
      <c s="8" r="V1003"/>
      <c s="8" r="W1003"/>
      <c s="8" r="X1003"/>
      <c s="8" r="Y1003"/>
      <c s="8" r="Z1003"/>
      <c s="8" r="AA1003"/>
    </row>
    <row r="1004">
      <c s="8" r="A1004"/>
      <c s="8" r="B1004"/>
      <c s="8" r="C1004"/>
      <c s="8" r="D1004"/>
      <c s="8" r="E1004"/>
      <c s="8" r="F1004"/>
      <c s="8" r="G1004"/>
      <c s="8" r="H1004"/>
      <c s="8" r="I1004"/>
      <c s="8" r="J1004"/>
      <c s="8" r="K1004"/>
      <c s="8" r="L1004"/>
      <c s="8" r="M1004"/>
      <c s="8" r="N1004"/>
      <c s="8" r="O1004"/>
      <c s="8" r="P1004"/>
      <c s="8" r="Q1004"/>
      <c s="8" r="R1004"/>
      <c s="8" r="S1004"/>
      <c s="8" r="T1004"/>
      <c s="8" r="U1004"/>
      <c s="8" r="V1004"/>
      <c s="8" r="W1004"/>
      <c s="8" r="X1004"/>
      <c s="8" r="Y1004"/>
      <c s="8" r="Z1004"/>
      <c s="8" r="AA1004"/>
    </row>
    <row r="1005">
      <c s="8" r="A1005"/>
      <c s="8" r="B1005"/>
      <c s="8" r="C1005"/>
      <c s="8" r="D1005"/>
      <c s="8" r="E1005"/>
      <c s="8" r="F1005"/>
      <c s="8" r="G1005"/>
      <c s="8" r="H1005"/>
      <c s="8" r="I1005"/>
      <c s="8" r="J1005"/>
      <c s="8" r="K1005"/>
      <c s="8" r="L1005"/>
      <c s="8" r="M1005"/>
      <c s="8" r="N1005"/>
      <c s="8" r="O1005"/>
      <c s="8" r="P1005"/>
      <c s="8" r="Q1005"/>
      <c s="8" r="R1005"/>
      <c s="8" r="S1005"/>
      <c s="8" r="T1005"/>
      <c s="8" r="U1005"/>
      <c s="8" r="V1005"/>
      <c s="8" r="W1005"/>
      <c s="8" r="X1005"/>
      <c s="8" r="Y1005"/>
      <c s="8" r="Z1005"/>
      <c s="8" r="AA1005"/>
    </row>
    <row r="1006">
      <c s="8" r="A1006"/>
      <c s="8" r="B1006"/>
      <c s="8" r="C1006"/>
      <c s="8" r="D1006"/>
      <c s="8" r="E1006"/>
      <c s="8" r="F1006"/>
      <c s="8" r="G1006"/>
      <c s="8" r="H1006"/>
      <c s="8" r="I1006"/>
      <c s="8" r="J1006"/>
      <c s="8" r="K1006"/>
      <c s="8" r="L1006"/>
      <c s="8" r="M1006"/>
      <c s="8" r="N1006"/>
      <c s="8" r="O1006"/>
      <c s="8" r="P1006"/>
      <c s="8" r="Q1006"/>
      <c s="8" r="R1006"/>
      <c s="8" r="S1006"/>
      <c s="8" r="T1006"/>
      <c s="8" r="U1006"/>
      <c s="8" r="V1006"/>
      <c s="8" r="W1006"/>
      <c s="8" r="X1006"/>
      <c s="8" r="Y1006"/>
      <c s="8" r="Z1006"/>
      <c s="8" r="AA1006"/>
    </row>
    <row r="1007">
      <c s="8" r="A1007"/>
      <c s="8" r="B1007"/>
      <c s="8" r="C1007"/>
      <c s="8" r="D1007"/>
      <c s="8" r="E1007"/>
      <c s="8" r="F1007"/>
      <c s="8" r="G1007"/>
      <c s="8" r="H1007"/>
      <c s="8" r="I1007"/>
      <c s="8" r="J1007"/>
      <c s="8" r="K1007"/>
      <c s="8" r="L1007"/>
      <c s="8" r="M1007"/>
      <c s="8" r="N1007"/>
      <c s="8" r="O1007"/>
      <c s="8" r="P1007"/>
      <c s="8" r="Q1007"/>
      <c s="8" r="R1007"/>
      <c s="8" r="S1007"/>
      <c s="8" r="T1007"/>
      <c s="8" r="U1007"/>
      <c s="8" r="V1007"/>
      <c s="8" r="W1007"/>
      <c s="8" r="X1007"/>
      <c s="8" r="Y1007"/>
      <c s="8" r="Z1007"/>
      <c s="8" r="AA1007"/>
    </row>
    <row r="1008">
      <c s="8" r="A1008"/>
      <c s="8" r="B1008"/>
      <c s="8" r="C1008"/>
      <c s="8" r="D1008"/>
      <c s="8" r="E1008"/>
      <c s="8" r="F1008"/>
      <c s="8" r="G1008"/>
      <c s="8" r="H1008"/>
      <c s="8" r="I1008"/>
      <c s="8" r="J1008"/>
      <c s="8" r="K1008"/>
      <c s="8" r="L1008"/>
      <c s="8" r="M1008"/>
      <c s="8" r="N1008"/>
      <c s="8" r="O1008"/>
      <c s="8" r="P1008"/>
      <c s="8" r="Q1008"/>
      <c s="8" r="R1008"/>
      <c s="8" r="S1008"/>
      <c s="8" r="T1008"/>
      <c s="8" r="U1008"/>
      <c s="8" r="V1008"/>
      <c s="8" r="W1008"/>
      <c s="8" r="X1008"/>
      <c s="8" r="Y1008"/>
      <c s="8" r="Z1008"/>
      <c s="8" r="AA1008"/>
    </row>
    <row r="1009">
      <c s="8" r="A1009"/>
      <c s="8" r="B1009"/>
      <c s="8" r="C1009"/>
      <c s="8" r="D1009"/>
      <c s="8" r="E1009"/>
      <c s="8" r="F1009"/>
      <c s="8" r="G1009"/>
      <c s="8" r="H1009"/>
      <c s="8" r="I1009"/>
      <c s="8" r="J1009"/>
      <c s="8" r="K1009"/>
      <c s="8" r="L1009"/>
      <c s="8" r="M1009"/>
      <c s="8" r="N1009"/>
      <c s="8" r="O1009"/>
      <c s="8" r="P1009"/>
      <c s="8" r="Q1009"/>
      <c s="8" r="R1009"/>
      <c s="8" r="S1009"/>
      <c s="8" r="T1009"/>
      <c s="8" r="U1009"/>
      <c s="8" r="V1009"/>
      <c s="8" r="W1009"/>
      <c s="8" r="X1009"/>
      <c s="8" r="Y1009"/>
      <c s="8" r="Z1009"/>
      <c s="8" r="AA1009"/>
    </row>
    <row r="1010">
      <c s="8" r="A1010"/>
      <c s="8" r="B1010"/>
      <c s="8" r="C1010"/>
      <c s="8" r="D1010"/>
      <c s="8" r="E1010"/>
      <c s="8" r="F1010"/>
      <c s="8" r="G1010"/>
      <c s="8" r="H1010"/>
      <c s="8" r="I1010"/>
      <c s="8" r="J1010"/>
      <c s="8" r="K1010"/>
      <c s="8" r="L1010"/>
      <c s="8" r="M1010"/>
      <c s="8" r="N1010"/>
      <c s="8" r="O1010"/>
      <c s="8" r="P1010"/>
      <c s="8" r="Q1010"/>
      <c s="8" r="R1010"/>
      <c s="8" r="S1010"/>
      <c s="8" r="T1010"/>
      <c s="8" r="U1010"/>
      <c s="8" r="V1010"/>
      <c s="8" r="W1010"/>
      <c s="8" r="X1010"/>
      <c s="8" r="Y1010"/>
      <c s="8" r="Z1010"/>
      <c s="8" r="AA1010"/>
    </row>
    <row r="1011">
      <c s="8" r="A1011"/>
      <c s="8" r="B1011"/>
      <c s="8" r="C1011"/>
      <c s="8" r="D1011"/>
      <c s="8" r="E1011"/>
      <c s="8" r="F1011"/>
      <c s="8" r="G1011"/>
      <c s="8" r="H1011"/>
      <c s="8" r="I1011"/>
      <c s="8" r="J1011"/>
      <c s="8" r="K1011"/>
      <c s="8" r="L1011"/>
      <c s="8" r="M1011"/>
      <c s="8" r="N1011"/>
      <c s="8" r="O1011"/>
      <c s="8" r="P1011"/>
      <c s="8" r="Q1011"/>
      <c s="8" r="R1011"/>
      <c s="8" r="S1011"/>
      <c s="8" r="T1011"/>
      <c s="8" r="U1011"/>
      <c s="8" r="V1011"/>
      <c s="8" r="W1011"/>
      <c s="8" r="X1011"/>
      <c s="8" r="Y1011"/>
      <c s="8" r="Z1011"/>
      <c s="8" r="AA1011"/>
    </row>
    <row r="1012">
      <c s="8" r="A1012"/>
      <c s="8" r="B1012"/>
      <c s="8" r="C1012"/>
      <c s="8" r="D1012"/>
      <c s="8" r="E1012"/>
      <c s="8" r="F1012"/>
      <c s="8" r="G1012"/>
      <c s="8" r="H1012"/>
      <c s="8" r="I1012"/>
      <c s="8" r="J1012"/>
      <c s="8" r="K1012"/>
      <c s="8" r="L1012"/>
      <c s="8" r="M1012"/>
      <c s="8" r="N1012"/>
      <c s="8" r="O1012"/>
      <c s="8" r="P1012"/>
      <c s="8" r="Q1012"/>
      <c s="8" r="R1012"/>
      <c s="8" r="S1012"/>
      <c s="8" r="T1012"/>
      <c s="8" r="U1012"/>
      <c s="8" r="V1012"/>
      <c s="8" r="W1012"/>
      <c s="8" r="X1012"/>
      <c s="8" r="Y1012"/>
      <c s="8" r="Z1012"/>
      <c s="8" r="AA1012"/>
    </row>
    <row r="1013">
      <c s="8" r="A1013"/>
      <c s="8" r="B1013"/>
      <c s="8" r="C1013"/>
      <c s="8" r="D1013"/>
      <c s="8" r="E1013"/>
      <c s="8" r="F1013"/>
      <c s="8" r="G1013"/>
      <c s="8" r="H1013"/>
      <c s="8" r="I1013"/>
      <c s="8" r="J1013"/>
      <c s="8" r="K1013"/>
      <c s="8" r="L1013"/>
      <c s="8" r="M1013"/>
      <c s="8" r="N1013"/>
      <c s="8" r="O1013"/>
      <c s="8" r="P1013"/>
      <c s="8" r="Q1013"/>
      <c s="8" r="R1013"/>
      <c s="8" r="S1013"/>
      <c s="8" r="T1013"/>
      <c s="8" r="U1013"/>
      <c s="8" r="V1013"/>
      <c s="8" r="W1013"/>
      <c s="8" r="X1013"/>
      <c s="8" r="Y1013"/>
      <c s="8" r="Z1013"/>
      <c s="8" r="AA1013"/>
    </row>
    <row r="1014">
      <c s="8" r="A1014"/>
      <c s="8" r="B1014"/>
      <c s="8" r="C1014"/>
      <c s="8" r="D1014"/>
      <c s="8" r="E1014"/>
      <c s="8" r="F1014"/>
      <c s="8" r="G1014"/>
      <c s="8" r="H1014"/>
      <c s="8" r="I1014"/>
      <c s="8" r="J1014"/>
      <c s="8" r="K1014"/>
      <c s="8" r="L1014"/>
      <c s="8" r="M1014"/>
      <c s="8" r="N1014"/>
      <c s="8" r="O1014"/>
      <c s="8" r="P1014"/>
      <c s="8" r="Q1014"/>
      <c s="8" r="R1014"/>
      <c s="8" r="S1014"/>
      <c s="8" r="T1014"/>
      <c s="8" r="U1014"/>
      <c s="8" r="V1014"/>
      <c s="8" r="W1014"/>
      <c s="8" r="X1014"/>
      <c s="8" r="Y1014"/>
      <c s="8" r="Z1014"/>
      <c s="8" r="AA1014"/>
    </row>
    <row r="1015">
      <c s="8" r="A1015"/>
      <c s="8" r="B1015"/>
      <c s="8" r="C1015"/>
      <c s="8" r="D1015"/>
      <c s="8" r="E1015"/>
      <c s="8" r="F1015"/>
      <c s="8" r="G1015"/>
      <c s="8" r="H1015"/>
      <c s="8" r="I1015"/>
      <c s="8" r="J1015"/>
      <c s="8" r="K1015"/>
      <c s="8" r="L1015"/>
      <c s="8" r="M1015"/>
      <c s="8" r="N1015"/>
      <c s="8" r="O1015"/>
      <c s="8" r="P1015"/>
      <c s="8" r="Q1015"/>
      <c s="8" r="R1015"/>
      <c s="8" r="S1015"/>
      <c s="8" r="T1015"/>
      <c s="8" r="U1015"/>
      <c s="8" r="V1015"/>
      <c s="8" r="W1015"/>
      <c s="8" r="X1015"/>
      <c s="8" r="Y1015"/>
      <c s="8" r="Z1015"/>
      <c s="8" r="AA1015"/>
    </row>
    <row r="1016">
      <c s="8" r="A1016"/>
      <c s="8" r="B1016"/>
      <c s="8" r="C1016"/>
      <c s="8" r="D1016"/>
      <c s="8" r="E1016"/>
      <c s="8" r="F1016"/>
      <c s="8" r="G1016"/>
      <c s="8" r="H1016"/>
      <c s="8" r="I1016"/>
      <c s="8" r="J1016"/>
      <c s="8" r="K1016"/>
      <c s="8" r="L1016"/>
      <c s="8" r="M1016"/>
      <c s="8" r="N1016"/>
      <c s="8" r="O1016"/>
      <c s="8" r="P1016"/>
      <c s="8" r="Q1016"/>
      <c s="8" r="R1016"/>
      <c s="8" r="S1016"/>
      <c s="8" r="T1016"/>
      <c s="8" r="U1016"/>
      <c s="8" r="V1016"/>
      <c s="8" r="W1016"/>
      <c s="8" r="X1016"/>
      <c s="8" r="Y1016"/>
      <c s="8" r="Z1016"/>
      <c s="8" r="AA1016"/>
    </row>
    <row r="1017">
      <c s="8" r="A1017"/>
      <c s="8" r="B1017"/>
      <c s="8" r="C1017"/>
      <c s="8" r="D1017"/>
      <c s="8" r="E1017"/>
      <c s="8" r="F1017"/>
      <c s="8" r="G1017"/>
      <c s="8" r="H1017"/>
      <c s="8" r="I1017"/>
      <c s="8" r="J1017"/>
      <c s="8" r="K1017"/>
      <c s="8" r="L1017"/>
      <c s="8" r="M1017"/>
      <c s="8" r="N1017"/>
      <c s="8" r="O1017"/>
      <c s="8" r="P1017"/>
      <c s="8" r="Q1017"/>
      <c s="8" r="R1017"/>
      <c s="8" r="S1017"/>
      <c s="8" r="T1017"/>
      <c s="8" r="U1017"/>
      <c s="8" r="V1017"/>
      <c s="8" r="W1017"/>
      <c s="8" r="X1017"/>
      <c s="8" r="Y1017"/>
      <c s="8" r="Z1017"/>
      <c s="8" r="AA1017"/>
    </row>
    <row r="1018">
      <c s="8" r="A1018"/>
      <c s="8" r="B1018"/>
      <c s="8" r="C1018"/>
      <c s="8" r="D1018"/>
      <c s="8" r="E1018"/>
      <c s="8" r="F1018"/>
      <c s="8" r="G1018"/>
      <c s="8" r="H1018"/>
      <c s="8" r="I1018"/>
      <c s="8" r="J1018"/>
      <c s="8" r="K1018"/>
      <c s="8" r="L1018"/>
      <c s="8" r="M1018"/>
      <c s="8" r="N1018"/>
      <c s="8" r="O1018"/>
      <c s="8" r="P1018"/>
      <c s="8" r="Q1018"/>
      <c s="8" r="R1018"/>
      <c s="8" r="S1018"/>
      <c s="8" r="T1018"/>
      <c s="8" r="U1018"/>
      <c s="8" r="V1018"/>
      <c s="8" r="W1018"/>
      <c s="8" r="X1018"/>
      <c s="8" r="Y1018"/>
      <c s="8" r="Z1018"/>
      <c s="8" r="AA1018"/>
    </row>
    <row r="1019">
      <c s="8" r="A1019"/>
      <c s="8" r="B1019"/>
      <c s="8" r="C1019"/>
      <c s="8" r="D1019"/>
      <c s="8" r="E1019"/>
      <c s="8" r="F1019"/>
      <c s="8" r="G1019"/>
      <c s="8" r="H1019"/>
      <c s="8" r="I1019"/>
      <c s="8" r="J1019"/>
      <c s="8" r="K1019"/>
      <c s="8" r="L1019"/>
      <c s="8" r="M1019"/>
      <c s="8" r="N1019"/>
      <c s="8" r="O1019"/>
      <c s="8" r="P1019"/>
      <c s="8" r="Q1019"/>
      <c s="8" r="R1019"/>
      <c s="8" r="S1019"/>
      <c s="8" r="T1019"/>
      <c s="8" r="U1019"/>
      <c s="8" r="V1019"/>
      <c s="8" r="W1019"/>
      <c s="8" r="X1019"/>
      <c s="8" r="Y1019"/>
      <c s="8" r="Z1019"/>
      <c s="8" r="AA1019"/>
    </row>
    <row r="1020">
      <c s="8" r="A1020"/>
      <c s="8" r="B1020"/>
      <c s="8" r="C1020"/>
      <c s="8" r="D1020"/>
      <c s="8" r="E1020"/>
      <c s="8" r="F1020"/>
      <c s="8" r="G1020"/>
      <c s="8" r="H1020"/>
      <c s="8" r="I1020"/>
      <c s="8" r="J1020"/>
      <c s="8" r="K1020"/>
      <c s="8" r="L1020"/>
      <c s="8" r="M1020"/>
      <c s="8" r="N1020"/>
      <c s="8" r="O1020"/>
      <c s="8" r="P1020"/>
      <c s="8" r="Q1020"/>
      <c s="8" r="R1020"/>
      <c s="8" r="S1020"/>
      <c s="8" r="T1020"/>
      <c s="8" r="U1020"/>
      <c s="8" r="V1020"/>
      <c s="8" r="W1020"/>
      <c s="8" r="X1020"/>
      <c s="8" r="Y1020"/>
      <c s="8" r="Z1020"/>
      <c s="8" r="AA1020"/>
    </row>
    <row r="1021">
      <c s="8" r="A1021"/>
      <c s="8" r="B1021"/>
      <c s="8" r="C1021"/>
      <c s="8" r="D1021"/>
      <c s="8" r="E1021"/>
      <c s="8" r="F1021"/>
      <c s="8" r="G1021"/>
      <c s="8" r="H1021"/>
      <c s="8" r="I1021"/>
      <c s="8" r="J1021"/>
      <c s="8" r="K1021"/>
      <c s="8" r="L1021"/>
      <c s="8" r="M1021"/>
      <c s="8" r="N1021"/>
      <c s="8" r="O1021"/>
      <c s="8" r="P1021"/>
      <c s="8" r="Q1021"/>
      <c s="8" r="R1021"/>
      <c s="8" r="S1021"/>
      <c s="8" r="T1021"/>
      <c s="8" r="U1021"/>
      <c s="8" r="V1021"/>
      <c s="8" r="W1021"/>
      <c s="8" r="X1021"/>
      <c s="8" r="Y1021"/>
      <c s="8" r="Z1021"/>
      <c s="8" r="AA1021"/>
    </row>
    <row r="1022">
      <c s="8" r="A1022"/>
      <c s="8" r="B1022"/>
      <c s="8" r="C1022"/>
      <c s="8" r="D1022"/>
      <c s="8" r="E1022"/>
      <c s="8" r="F1022"/>
      <c s="8" r="G1022"/>
      <c s="8" r="H1022"/>
      <c s="8" r="I1022"/>
      <c s="8" r="J1022"/>
      <c s="8" r="K1022"/>
      <c s="8" r="L1022"/>
      <c s="8" r="M1022"/>
      <c s="8" r="N1022"/>
      <c s="8" r="O1022"/>
      <c s="8" r="P1022"/>
      <c s="8" r="Q1022"/>
      <c s="8" r="R1022"/>
      <c s="8" r="S1022"/>
      <c s="8" r="T1022"/>
      <c s="8" r="U1022"/>
      <c s="8" r="V1022"/>
      <c s="8" r="W1022"/>
      <c s="8" r="X1022"/>
      <c s="8" r="Y1022"/>
      <c s="8" r="Z1022"/>
      <c s="8" r="AA1022"/>
    </row>
    <row r="1023">
      <c s="8" r="A1023"/>
      <c s="8" r="B1023"/>
      <c s="8" r="C1023"/>
      <c s="8" r="D1023"/>
      <c s="8" r="E1023"/>
      <c s="8" r="F1023"/>
      <c s="8" r="G1023"/>
      <c s="8" r="H1023"/>
      <c s="8" r="I1023"/>
      <c s="8" r="J1023"/>
      <c s="8" r="K1023"/>
      <c s="8" r="L1023"/>
      <c s="8" r="M1023"/>
      <c s="8" r="N1023"/>
      <c s="8" r="O1023"/>
      <c s="8" r="P1023"/>
      <c s="8" r="Q1023"/>
      <c s="8" r="R1023"/>
      <c s="8" r="S1023"/>
      <c s="8" r="T1023"/>
      <c s="8" r="U1023"/>
      <c s="8" r="V1023"/>
      <c s="8" r="W1023"/>
      <c s="8" r="X1023"/>
      <c s="8" r="Y1023"/>
      <c s="8" r="Z1023"/>
      <c s="8" r="AA1023"/>
    </row>
    <row r="1024">
      <c s="8" r="A1024"/>
      <c s="8" r="B1024"/>
      <c s="8" r="C1024"/>
      <c s="8" r="D1024"/>
      <c s="8" r="E1024"/>
      <c s="8" r="F1024"/>
      <c s="8" r="G1024"/>
      <c s="8" r="H1024"/>
      <c s="8" r="I1024"/>
      <c s="8" r="J1024"/>
      <c s="8" r="K1024"/>
      <c s="8" r="L1024"/>
      <c s="8" r="M1024"/>
      <c s="8" r="N1024"/>
      <c s="8" r="O1024"/>
      <c s="8" r="P1024"/>
      <c s="8" r="Q1024"/>
      <c s="8" r="R1024"/>
      <c s="8" r="S1024"/>
      <c s="8" r="T1024"/>
      <c s="8" r="U1024"/>
      <c s="8" r="V1024"/>
      <c s="8" r="W1024"/>
      <c s="8" r="X1024"/>
      <c s="8" r="Y1024"/>
      <c s="8" r="Z1024"/>
      <c s="8" r="AA1024"/>
    </row>
    <row r="1025">
      <c s="8" r="A1025"/>
      <c s="8" r="B1025"/>
      <c s="8" r="C1025"/>
      <c s="8" r="D1025"/>
      <c s="8" r="E1025"/>
      <c s="8" r="F1025"/>
      <c s="8" r="G1025"/>
      <c s="8" r="H1025"/>
      <c s="8" r="I1025"/>
      <c s="8" r="J1025"/>
      <c s="8" r="K1025"/>
      <c s="8" r="L1025"/>
      <c s="8" r="M1025"/>
      <c s="8" r="N1025"/>
      <c s="8" r="O1025"/>
      <c s="8" r="P1025"/>
      <c s="8" r="Q1025"/>
      <c s="8" r="R1025"/>
      <c s="8" r="S1025"/>
      <c s="8" r="T1025"/>
      <c s="8" r="U1025"/>
      <c s="8" r="V1025"/>
      <c s="8" r="W1025"/>
      <c s="8" r="X1025"/>
      <c s="8" r="Y1025"/>
      <c s="8" r="Z1025"/>
      <c s="8" r="AA1025"/>
    </row>
    <row r="1026">
      <c s="8" r="A1026"/>
      <c s="8" r="B1026"/>
      <c s="8" r="C1026"/>
      <c s="8" r="D1026"/>
      <c s="8" r="E1026"/>
      <c s="8" r="F1026"/>
      <c s="8" r="G1026"/>
      <c s="8" r="H1026"/>
      <c s="8" r="I1026"/>
      <c s="8" r="J1026"/>
      <c s="8" r="K1026"/>
      <c s="8" r="L1026"/>
      <c s="8" r="M1026"/>
      <c s="8" r="N1026"/>
      <c s="8" r="O1026"/>
      <c s="8" r="P1026"/>
      <c s="8" r="Q1026"/>
      <c s="8" r="R1026"/>
      <c s="8" r="S1026"/>
      <c s="8" r="T1026"/>
      <c s="8" r="U1026"/>
      <c s="8" r="V1026"/>
      <c s="8" r="W1026"/>
      <c s="8" r="X1026"/>
      <c s="8" r="Y1026"/>
      <c s="8" r="Z1026"/>
      <c s="8" r="AA1026"/>
    </row>
    <row r="1027">
      <c s="8" r="A1027"/>
      <c s="8" r="B1027"/>
      <c s="8" r="C1027"/>
      <c s="8" r="D1027"/>
      <c s="8" r="E1027"/>
      <c s="8" r="F1027"/>
      <c s="8" r="G1027"/>
      <c s="8" r="H1027"/>
      <c s="8" r="I1027"/>
      <c s="8" r="J1027"/>
      <c s="8" r="K1027"/>
      <c s="8" r="L1027"/>
      <c s="8" r="M1027"/>
      <c s="8" r="N1027"/>
      <c s="8" r="O1027"/>
      <c s="8" r="P1027"/>
      <c s="8" r="Q1027"/>
      <c s="8" r="R1027"/>
      <c s="8" r="S1027"/>
      <c s="8" r="T1027"/>
      <c s="8" r="U1027"/>
      <c s="8" r="V1027"/>
      <c s="8" r="W1027"/>
      <c s="8" r="X1027"/>
      <c s="8" r="Y1027"/>
      <c s="8" r="Z1027"/>
      <c s="8" r="AA1027"/>
    </row>
    <row r="1028">
      <c s="8" r="A1028"/>
      <c s="8" r="B1028"/>
      <c s="8" r="C1028"/>
      <c s="8" r="D1028"/>
      <c s="8" r="E1028"/>
      <c s="8" r="F1028"/>
      <c s="8" r="G1028"/>
      <c s="8" r="H1028"/>
      <c s="8" r="I1028"/>
      <c s="8" r="J1028"/>
      <c s="8" r="K1028"/>
      <c s="8" r="L1028"/>
      <c s="8" r="M1028"/>
      <c s="8" r="N1028"/>
      <c s="8" r="O1028"/>
      <c s="8" r="P1028"/>
      <c s="8" r="Q1028"/>
      <c s="8" r="R1028"/>
      <c s="8" r="S1028"/>
      <c s="8" r="T1028"/>
      <c s="8" r="U1028"/>
      <c s="8" r="V1028"/>
      <c s="8" r="W1028"/>
      <c s="8" r="X1028"/>
      <c s="8" r="Y1028"/>
      <c s="8" r="Z1028"/>
      <c s="8" r="AA1028"/>
    </row>
    <row r="1029">
      <c s="8" r="A1029"/>
      <c s="8" r="B1029"/>
      <c s="8" r="C1029"/>
      <c s="8" r="D1029"/>
      <c s="8" r="E1029"/>
      <c s="8" r="F1029"/>
      <c s="8" r="G1029"/>
      <c s="8" r="H1029"/>
      <c s="8" r="I1029"/>
      <c s="8" r="J1029"/>
      <c s="8" r="K1029"/>
      <c s="8" r="L1029"/>
      <c s="8" r="M1029"/>
      <c s="8" r="N1029"/>
      <c s="8" r="O1029"/>
      <c s="8" r="P1029"/>
      <c s="8" r="Q1029"/>
      <c s="8" r="R1029"/>
      <c s="8" r="S1029"/>
      <c s="8" r="T1029"/>
      <c s="8" r="U1029"/>
      <c s="8" r="V1029"/>
      <c s="8" r="W1029"/>
      <c s="8" r="X1029"/>
      <c s="8" r="Y1029"/>
      <c s="8" r="Z1029"/>
      <c s="8" r="AA1029"/>
    </row>
    <row r="1030">
      <c s="8" r="A1030"/>
      <c s="8" r="B1030"/>
      <c s="8" r="C1030"/>
      <c s="8" r="D1030"/>
      <c s="8" r="E1030"/>
      <c s="8" r="F1030"/>
      <c s="8" r="G1030"/>
      <c s="8" r="H1030"/>
      <c s="8" r="I1030"/>
      <c s="8" r="J1030"/>
      <c s="8" r="K1030"/>
      <c s="8" r="L1030"/>
      <c s="8" r="M1030"/>
      <c s="8" r="N1030"/>
      <c s="8" r="O1030"/>
      <c s="8" r="P1030"/>
      <c s="8" r="Q1030"/>
      <c s="8" r="R1030"/>
      <c s="8" r="S1030"/>
      <c s="8" r="T1030"/>
      <c s="8" r="U1030"/>
      <c s="8" r="V1030"/>
      <c s="8" r="W1030"/>
      <c s="8" r="X1030"/>
      <c s="8" r="Y1030"/>
      <c s="8" r="Z1030"/>
      <c s="8" r="AA1030"/>
    </row>
    <row r="1031">
      <c s="8" r="A1031"/>
      <c s="8" r="B1031"/>
      <c s="8" r="C1031"/>
      <c s="8" r="D1031"/>
      <c s="8" r="E1031"/>
      <c s="8" r="F1031"/>
      <c s="8" r="G1031"/>
      <c s="8" r="H1031"/>
      <c s="8" r="I1031"/>
      <c s="8" r="J1031"/>
      <c s="8" r="K1031"/>
      <c s="8" r="L1031"/>
      <c s="8" r="M1031"/>
      <c s="8" r="N1031"/>
      <c s="8" r="O1031"/>
      <c s="8" r="P1031"/>
      <c s="8" r="Q1031"/>
      <c s="8" r="R1031"/>
      <c s="8" r="S1031"/>
      <c s="8" r="T1031"/>
      <c s="8" r="U1031"/>
      <c s="8" r="V1031"/>
      <c s="8" r="W1031"/>
      <c s="8" r="X1031"/>
      <c s="8" r="Y1031"/>
      <c s="8" r="Z1031"/>
      <c s="8" r="AA1031"/>
    </row>
    <row r="1032">
      <c s="8" r="A1032"/>
      <c s="8" r="B1032"/>
      <c s="8" r="C1032"/>
      <c s="8" r="D1032"/>
      <c s="8" r="E1032"/>
      <c s="8" r="F1032"/>
      <c s="8" r="G1032"/>
      <c s="8" r="H1032"/>
      <c s="8" r="I1032"/>
      <c s="8" r="J1032"/>
      <c s="8" r="K1032"/>
      <c s="8" r="L1032"/>
      <c s="8" r="M1032"/>
      <c s="8" r="N1032"/>
      <c s="8" r="O1032"/>
      <c s="8" r="P1032"/>
      <c s="8" r="Q1032"/>
      <c s="8" r="R1032"/>
      <c s="8" r="S1032"/>
      <c s="8" r="T1032"/>
      <c s="8" r="U1032"/>
      <c s="8" r="V1032"/>
      <c s="8" r="W1032"/>
      <c s="8" r="X1032"/>
      <c s="8" r="Y1032"/>
      <c s="8" r="Z1032"/>
      <c s="8" r="AA1032"/>
    </row>
    <row r="1033">
      <c s="8" r="A1033"/>
      <c s="8" r="B1033"/>
      <c s="8" r="C1033"/>
      <c s="8" r="D1033"/>
      <c s="8" r="E1033"/>
      <c s="8" r="F1033"/>
      <c s="8" r="G1033"/>
      <c s="8" r="H1033"/>
      <c s="8" r="I1033"/>
      <c s="8" r="J1033"/>
      <c s="8" r="K1033"/>
      <c s="8" r="L1033"/>
      <c s="8" r="M1033"/>
      <c s="8" r="N1033"/>
      <c s="8" r="O1033"/>
      <c s="8" r="P1033"/>
      <c s="8" r="Q1033"/>
      <c s="8" r="R1033"/>
      <c s="8" r="S1033"/>
      <c s="8" r="T1033"/>
      <c s="8" r="U1033"/>
      <c s="8" r="V1033"/>
      <c s="8" r="W1033"/>
      <c s="8" r="X1033"/>
      <c s="8" r="Y1033"/>
      <c s="8" r="Z1033"/>
      <c s="8" r="AA1033"/>
    </row>
    <row r="1034">
      <c s="8" r="A1034"/>
      <c s="8" r="B1034"/>
      <c s="8" r="C1034"/>
      <c s="8" r="D1034"/>
      <c s="8" r="E1034"/>
      <c s="8" r="F1034"/>
      <c s="8" r="G1034"/>
      <c s="8" r="H1034"/>
      <c s="8" r="I1034"/>
      <c s="8" r="J1034"/>
      <c s="8" r="K1034"/>
      <c s="8" r="L1034"/>
      <c s="8" r="M1034"/>
      <c s="8" r="N1034"/>
      <c s="8" r="O1034"/>
      <c s="8" r="P1034"/>
      <c s="8" r="Q1034"/>
      <c s="8" r="R1034"/>
      <c s="8" r="S1034"/>
      <c s="8" r="T1034"/>
      <c s="8" r="U1034"/>
      <c s="8" r="V1034"/>
      <c s="8" r="W1034"/>
      <c s="8" r="X1034"/>
      <c s="8" r="Y1034"/>
      <c s="8" r="Z1034"/>
      <c s="8" r="AA1034"/>
    </row>
    <row r="1035">
      <c s="8" r="A1035"/>
      <c s="8" r="B1035"/>
      <c s="8" r="C1035"/>
      <c s="8" r="D1035"/>
      <c s="8" r="E1035"/>
      <c s="8" r="F1035"/>
      <c s="8" r="G1035"/>
      <c s="8" r="H1035"/>
      <c s="8" r="I1035"/>
      <c s="8" r="J1035"/>
      <c s="8" r="K1035"/>
      <c s="8" r="L1035"/>
      <c s="8" r="M1035"/>
      <c s="8" r="N1035"/>
      <c s="8" r="O1035"/>
      <c s="8" r="P1035"/>
      <c s="8" r="Q1035"/>
      <c s="8" r="R1035"/>
      <c s="8" r="S1035"/>
      <c s="8" r="T1035"/>
      <c s="8" r="U1035"/>
      <c s="8" r="V1035"/>
      <c s="8" r="W1035"/>
      <c s="8" r="X1035"/>
      <c s="8" r="Y1035"/>
      <c s="8" r="Z1035"/>
      <c s="8" r="AA1035"/>
    </row>
    <row r="1036">
      <c s="8" r="A1036"/>
      <c s="8" r="B1036"/>
      <c s="8" r="C1036"/>
      <c s="8" r="D1036"/>
      <c s="8" r="E1036"/>
      <c s="8" r="F1036"/>
      <c s="8" r="G1036"/>
      <c s="8" r="H1036"/>
      <c s="8" r="I1036"/>
      <c s="8" r="J1036"/>
      <c s="8" r="K1036"/>
      <c s="8" r="L1036"/>
      <c s="8" r="M1036"/>
      <c s="8" r="N1036"/>
      <c s="8" r="O1036"/>
      <c s="8" r="P1036"/>
      <c s="8" r="Q1036"/>
      <c s="8" r="R1036"/>
      <c s="8" r="S1036"/>
      <c s="8" r="T1036"/>
      <c s="8" r="U1036"/>
      <c s="8" r="V1036"/>
      <c s="8" r="W1036"/>
      <c s="8" r="X1036"/>
      <c s="8" r="Y1036"/>
      <c s="8" r="Z1036"/>
      <c s="8" r="AA1036"/>
    </row>
    <row r="1037">
      <c s="8" r="A1037"/>
      <c s="8" r="B1037"/>
      <c s="8" r="C1037"/>
      <c s="8" r="D1037"/>
      <c s="8" r="E1037"/>
      <c s="8" r="F1037"/>
      <c s="8" r="G1037"/>
      <c s="8" r="H1037"/>
      <c s="8" r="I1037"/>
      <c s="8" r="J1037"/>
      <c s="8" r="K1037"/>
      <c s="8" r="L1037"/>
      <c s="8" r="M1037"/>
      <c s="8" r="N1037"/>
      <c s="8" r="O1037"/>
      <c s="8" r="P1037"/>
      <c s="8" r="Q1037"/>
      <c s="8" r="R1037"/>
      <c s="8" r="S1037"/>
      <c s="8" r="T1037"/>
      <c s="8" r="U1037"/>
      <c s="8" r="V1037"/>
      <c s="8" r="W1037"/>
      <c s="8" r="X1037"/>
      <c s="8" r="Y1037"/>
      <c s="8" r="Z1037"/>
      <c s="8" r="AA1037"/>
    </row>
    <row r="1038">
      <c s="8" r="A1038"/>
      <c s="8" r="B1038"/>
      <c s="8" r="C1038"/>
      <c s="8" r="D1038"/>
      <c s="8" r="E1038"/>
      <c s="8" r="F1038"/>
      <c s="8" r="G1038"/>
      <c s="8" r="H1038"/>
      <c s="8" r="I1038"/>
      <c s="8" r="J1038"/>
      <c s="8" r="K1038"/>
      <c s="8" r="L1038"/>
      <c s="8" r="M1038"/>
      <c s="8" r="N1038"/>
      <c s="8" r="O1038"/>
      <c s="8" r="P1038"/>
      <c s="8" r="Q1038"/>
      <c s="8" r="R1038"/>
      <c s="8" r="S1038"/>
      <c s="8" r="T1038"/>
      <c s="8" r="U1038"/>
      <c s="8" r="V1038"/>
      <c s="8" r="W1038"/>
      <c s="8" r="X1038"/>
      <c s="8" r="Y1038"/>
      <c s="8" r="Z1038"/>
      <c s="8" r="AA1038"/>
    </row>
    <row r="1039">
      <c s="8" r="A1039"/>
      <c s="8" r="B1039"/>
      <c s="8" r="C1039"/>
      <c s="8" r="D1039"/>
      <c s="8" r="E1039"/>
      <c s="8" r="F1039"/>
      <c s="8" r="G1039"/>
      <c s="8" r="H1039"/>
      <c s="8" r="I1039"/>
      <c s="8" r="J1039"/>
      <c s="8" r="K1039"/>
      <c s="8" r="L1039"/>
      <c s="8" r="M1039"/>
      <c s="8" r="N1039"/>
      <c s="8" r="O1039"/>
      <c s="8" r="P1039"/>
      <c s="8" r="Q1039"/>
      <c s="8" r="R1039"/>
      <c s="8" r="S1039"/>
      <c s="8" r="T1039"/>
      <c s="8" r="U1039"/>
      <c s="8" r="V1039"/>
      <c s="8" r="W1039"/>
      <c s="8" r="X1039"/>
      <c s="8" r="Y1039"/>
      <c s="8" r="Z1039"/>
      <c s="8" r="AA1039"/>
    </row>
    <row r="1040">
      <c s="8" r="A1040"/>
      <c s="8" r="B1040"/>
      <c s="8" r="C1040"/>
      <c s="8" r="D1040"/>
      <c s="8" r="E1040"/>
      <c s="8" r="F1040"/>
      <c s="8" r="G1040"/>
      <c s="8" r="H1040"/>
      <c s="8" r="I1040"/>
      <c s="8" r="J1040"/>
      <c s="8" r="K1040"/>
      <c s="8" r="L1040"/>
      <c s="8" r="M1040"/>
      <c s="8" r="N1040"/>
      <c s="8" r="O1040"/>
      <c s="8" r="P1040"/>
      <c s="8" r="Q1040"/>
      <c s="8" r="R1040"/>
      <c s="8" r="S1040"/>
      <c s="8" r="T1040"/>
      <c s="8" r="U1040"/>
      <c s="8" r="V1040"/>
      <c s="8" r="W1040"/>
      <c s="8" r="X1040"/>
      <c s="8" r="Y1040"/>
      <c s="8" r="Z1040"/>
      <c s="8" r="AA1040"/>
    </row>
    <row r="1041">
      <c s="8" r="A1041"/>
      <c s="8" r="B1041"/>
      <c s="8" r="C1041"/>
      <c s="8" r="D1041"/>
      <c s="8" r="E1041"/>
      <c s="8" r="F1041"/>
      <c s="8" r="G1041"/>
      <c s="8" r="H1041"/>
      <c s="8" r="I1041"/>
      <c s="8" r="J1041"/>
      <c s="8" r="K1041"/>
      <c s="8" r="L1041"/>
      <c s="8" r="M1041"/>
      <c s="8" r="N1041"/>
      <c s="8" r="O1041"/>
      <c s="8" r="P1041"/>
      <c s="8" r="Q1041"/>
      <c s="8" r="R1041"/>
      <c s="8" r="S1041"/>
      <c s="8" r="T1041"/>
      <c s="8" r="U1041"/>
      <c s="8" r="V1041"/>
      <c s="8" r="W1041"/>
      <c s="8" r="X1041"/>
      <c s="8" r="Y1041"/>
      <c s="8" r="Z1041"/>
      <c s="8" r="AA1041"/>
    </row>
    <row r="1042">
      <c s="8" r="A1042"/>
      <c s="8" r="B1042"/>
      <c s="8" r="C1042"/>
      <c s="8" r="D1042"/>
      <c s="8" r="E1042"/>
      <c s="8" r="F1042"/>
      <c s="8" r="G1042"/>
      <c s="8" r="H1042"/>
      <c s="8" r="I1042"/>
      <c s="8" r="J1042"/>
      <c s="8" r="K1042"/>
      <c s="8" r="L1042"/>
      <c s="8" r="M1042"/>
      <c s="8" r="N1042"/>
      <c s="8" r="O1042"/>
      <c s="8" r="P1042"/>
      <c s="8" r="Q1042"/>
      <c s="8" r="R1042"/>
      <c s="8" r="S1042"/>
      <c s="8" r="T1042"/>
      <c s="8" r="U1042"/>
      <c s="8" r="V1042"/>
      <c s="8" r="W1042"/>
      <c s="8" r="X1042"/>
      <c s="8" r="Y1042"/>
      <c s="8" r="Z1042"/>
      <c s="8" r="AA1042"/>
    </row>
    <row r="1043">
      <c s="8" r="A1043"/>
      <c s="8" r="B1043"/>
      <c s="8" r="C1043"/>
      <c s="8" r="D1043"/>
      <c s="8" r="E1043"/>
      <c s="8" r="F1043"/>
      <c s="8" r="G1043"/>
      <c s="8" r="H1043"/>
      <c s="8" r="I1043"/>
      <c s="8" r="J1043"/>
      <c s="8" r="K1043"/>
      <c s="8" r="L1043"/>
      <c s="8" r="M1043"/>
      <c s="8" r="N1043"/>
      <c s="8" r="O1043"/>
      <c s="8" r="P1043"/>
      <c s="8" r="Q1043"/>
      <c s="8" r="R1043"/>
      <c s="8" r="S1043"/>
      <c s="8" r="T1043"/>
      <c s="8" r="U1043"/>
      <c s="8" r="V1043"/>
      <c s="8" r="W1043"/>
      <c s="8" r="X1043"/>
      <c s="8" r="Y1043"/>
      <c s="8" r="Z1043"/>
      <c s="8" r="AA1043"/>
    </row>
    <row r="1044">
      <c s="8" r="A1044"/>
      <c s="8" r="B1044"/>
      <c s="8" r="C1044"/>
      <c s="8" r="D1044"/>
      <c s="8" r="E1044"/>
      <c s="8" r="F1044"/>
      <c s="8" r="G1044"/>
      <c s="8" r="H1044"/>
      <c s="8" r="I1044"/>
      <c s="8" r="J1044"/>
      <c s="8" r="K1044"/>
      <c s="8" r="L1044"/>
      <c s="8" r="M1044"/>
      <c s="8" r="N1044"/>
      <c s="8" r="O1044"/>
      <c s="8" r="P1044"/>
      <c s="8" r="Q1044"/>
      <c s="8" r="R1044"/>
      <c s="8" r="S1044"/>
      <c s="8" r="T1044"/>
      <c s="8" r="U1044"/>
      <c s="8" r="V1044"/>
      <c s="8" r="W1044"/>
      <c s="8" r="X1044"/>
      <c s="8" r="Y1044"/>
      <c s="8" r="Z1044"/>
      <c s="8" r="AA1044"/>
    </row>
    <row r="1045">
      <c s="8" r="A1045"/>
      <c s="8" r="B1045"/>
      <c s="8" r="C1045"/>
      <c s="8" r="D1045"/>
      <c s="8" r="E1045"/>
      <c s="8" r="F1045"/>
      <c s="8" r="G1045"/>
      <c s="8" r="H1045"/>
      <c s="8" r="I1045"/>
      <c s="8" r="J1045"/>
      <c s="8" r="K1045"/>
      <c s="8" r="L1045"/>
      <c s="8" r="M1045"/>
      <c s="8" r="N1045"/>
      <c s="8" r="O1045"/>
      <c s="8" r="P1045"/>
      <c s="8" r="Q1045"/>
      <c s="8" r="R1045"/>
      <c s="8" r="S1045"/>
      <c s="8" r="T1045"/>
      <c s="8" r="U1045"/>
      <c s="8" r="V1045"/>
      <c s="8" r="W1045"/>
      <c s="8" r="X1045"/>
      <c s="8" r="Y1045"/>
      <c s="8" r="Z1045"/>
      <c s="8" r="AA1045"/>
    </row>
    <row r="1046">
      <c s="8" r="A1046"/>
      <c s="8" r="B1046"/>
      <c s="8" r="C1046"/>
      <c s="8" r="D1046"/>
      <c s="8" r="E1046"/>
      <c s="8" r="F1046"/>
      <c s="8" r="G1046"/>
      <c s="8" r="H1046"/>
      <c s="8" r="I1046"/>
      <c s="8" r="J1046"/>
      <c s="8" r="K1046"/>
      <c s="8" r="L1046"/>
      <c s="8" r="M1046"/>
      <c s="8" r="N1046"/>
      <c s="8" r="O1046"/>
      <c s="8" r="P1046"/>
      <c s="8" r="Q1046"/>
      <c s="8" r="R1046"/>
      <c s="8" r="S1046"/>
      <c s="8" r="T1046"/>
      <c s="8" r="U1046"/>
      <c s="8" r="V1046"/>
      <c s="8" r="W1046"/>
      <c s="8" r="X1046"/>
      <c s="8" r="Y1046"/>
      <c s="8" r="Z1046"/>
      <c s="8" r="AA1046"/>
    </row>
    <row r="1047">
      <c s="8" r="A1047"/>
      <c s="8" r="B1047"/>
      <c s="8" r="C1047"/>
      <c s="8" r="D1047"/>
      <c s="8" r="E1047"/>
      <c s="8" r="F1047"/>
      <c s="8" r="G1047"/>
      <c s="8" r="H1047"/>
      <c s="8" r="I1047"/>
      <c s="8" r="J1047"/>
      <c s="8" r="K1047"/>
      <c s="8" r="L1047"/>
      <c s="8" r="M1047"/>
      <c s="8" r="N1047"/>
      <c s="8" r="O1047"/>
      <c s="8" r="P1047"/>
      <c s="8" r="Q1047"/>
      <c s="8" r="R1047"/>
      <c s="8" r="S1047"/>
      <c s="8" r="T1047"/>
      <c s="8" r="U1047"/>
      <c s="8" r="V1047"/>
      <c s="8" r="W1047"/>
      <c s="8" r="X1047"/>
      <c s="8" r="Y1047"/>
      <c s="8" r="Z1047"/>
      <c s="8" r="AA1047"/>
    </row>
    <row r="1048">
      <c s="8" r="A1048"/>
      <c s="8" r="B1048"/>
      <c s="8" r="C1048"/>
      <c s="8" r="D1048"/>
      <c s="8" r="E1048"/>
      <c s="8" r="F1048"/>
      <c s="8" r="G1048"/>
      <c s="8" r="H1048"/>
      <c s="8" r="I1048"/>
      <c s="8" r="J1048"/>
      <c s="8" r="K1048"/>
      <c s="8" r="L1048"/>
      <c s="8" r="M1048"/>
      <c s="8" r="N1048"/>
      <c s="8" r="O1048"/>
      <c s="8" r="P1048"/>
      <c s="8" r="Q1048"/>
      <c s="8" r="R1048"/>
      <c s="8" r="S1048"/>
      <c s="8" r="T1048"/>
      <c s="8" r="U1048"/>
      <c s="8" r="V1048"/>
      <c s="8" r="W1048"/>
      <c s="8" r="X1048"/>
      <c s="8" r="Y1048"/>
      <c s="8" r="Z1048"/>
      <c s="8" r="AA1048"/>
    </row>
    <row r="1049">
      <c s="8" r="A1049"/>
      <c s="8" r="B1049"/>
      <c s="8" r="C1049"/>
      <c s="8" r="D1049"/>
      <c s="8" r="E1049"/>
      <c s="8" r="F1049"/>
      <c s="8" r="G1049"/>
      <c s="8" r="H1049"/>
      <c s="8" r="I1049"/>
      <c s="8" r="J1049"/>
      <c s="8" r="K1049"/>
      <c s="8" r="L1049"/>
      <c s="8" r="M1049"/>
      <c s="8" r="N1049"/>
      <c s="8" r="O1049"/>
      <c s="8" r="P1049"/>
      <c s="8" r="Q1049"/>
      <c s="8" r="R1049"/>
      <c s="8" r="S1049"/>
      <c s="8" r="T1049"/>
      <c s="8" r="U1049"/>
      <c s="8" r="V1049"/>
      <c s="8" r="W1049"/>
      <c s="8" r="X1049"/>
      <c s="8" r="Y1049"/>
      <c s="8" r="Z1049"/>
      <c s="8" r="AA1049"/>
    </row>
    <row r="1050">
      <c s="8" r="A1050"/>
      <c s="8" r="B1050"/>
      <c s="8" r="C1050"/>
      <c s="8" r="D1050"/>
      <c s="8" r="E1050"/>
      <c s="8" r="F1050"/>
      <c s="8" r="G1050"/>
      <c s="8" r="H1050"/>
      <c s="8" r="I1050"/>
      <c s="8" r="J1050"/>
      <c s="8" r="K1050"/>
      <c s="8" r="L1050"/>
      <c s="8" r="M1050"/>
      <c s="8" r="N1050"/>
      <c s="8" r="O1050"/>
      <c s="8" r="P1050"/>
      <c s="8" r="Q1050"/>
      <c s="8" r="R1050"/>
      <c s="8" r="S1050"/>
      <c s="8" r="T1050"/>
      <c s="8" r="U1050"/>
      <c s="8" r="V1050"/>
      <c s="8" r="W1050"/>
      <c s="8" r="X1050"/>
      <c s="8" r="Y1050"/>
      <c s="8" r="Z1050"/>
      <c s="8" r="AA1050"/>
    </row>
    <row r="1051">
      <c s="8" r="A1051"/>
      <c s="8" r="B1051"/>
      <c s="8" r="C1051"/>
      <c s="8" r="D1051"/>
      <c s="8" r="E1051"/>
      <c s="8" r="F1051"/>
      <c s="8" r="G1051"/>
      <c s="8" r="H1051"/>
      <c s="8" r="I1051"/>
      <c s="8" r="J1051"/>
      <c s="8" r="K1051"/>
      <c s="8" r="L1051"/>
      <c s="8" r="M1051"/>
      <c s="8" r="N1051"/>
      <c s="8" r="O1051"/>
      <c s="8" r="P1051"/>
      <c s="8" r="Q1051"/>
      <c s="8" r="R1051"/>
      <c s="8" r="S1051"/>
      <c s="8" r="T1051"/>
      <c s="8" r="U1051"/>
      <c s="8" r="V1051"/>
      <c s="8" r="W1051"/>
      <c s="8" r="X1051"/>
      <c s="8" r="Y1051"/>
      <c s="8" r="Z1051"/>
      <c s="8" r="AA1051"/>
    </row>
    <row r="1052">
      <c s="8" r="A1052"/>
      <c s="8" r="B1052"/>
      <c s="8" r="C1052"/>
      <c s="8" r="D1052"/>
      <c s="8" r="E1052"/>
      <c s="8" r="F1052"/>
      <c s="8" r="G1052"/>
      <c s="8" r="H1052"/>
      <c s="8" r="I1052"/>
      <c s="8" r="J1052"/>
      <c s="8" r="K1052"/>
      <c s="8" r="L1052"/>
      <c s="8" r="M1052"/>
      <c s="8" r="N1052"/>
      <c s="8" r="O1052"/>
      <c s="8" r="P1052"/>
      <c s="8" r="Q1052"/>
      <c s="8" r="R1052"/>
      <c s="8" r="S1052"/>
      <c s="8" r="T1052"/>
      <c s="8" r="U1052"/>
      <c s="8" r="V1052"/>
      <c s="8" r="W1052"/>
      <c s="8" r="X1052"/>
      <c s="8" r="Y1052"/>
      <c s="8" r="Z1052"/>
      <c s="8" r="AA1052"/>
    </row>
    <row r="1053">
      <c s="8" r="A1053"/>
      <c s="8" r="B1053"/>
      <c s="8" r="C1053"/>
      <c s="8" r="D1053"/>
      <c s="8" r="E1053"/>
      <c s="8" r="F1053"/>
      <c s="8" r="G1053"/>
      <c s="8" r="H1053"/>
      <c s="8" r="I1053"/>
      <c s="8" r="J1053"/>
      <c s="8" r="K1053"/>
      <c s="8" r="L1053"/>
      <c s="8" r="M1053"/>
      <c s="8" r="N1053"/>
      <c s="8" r="O1053"/>
      <c s="8" r="P1053"/>
      <c s="8" r="Q1053"/>
      <c s="8" r="R1053"/>
      <c s="8" r="S1053"/>
      <c s="8" r="T1053"/>
      <c s="8" r="U1053"/>
      <c s="8" r="V1053"/>
      <c s="8" r="W1053"/>
      <c s="8" r="X1053"/>
      <c s="8" r="Y1053"/>
      <c s="8" r="Z1053"/>
      <c s="8" r="AA1053"/>
    </row>
    <row r="1054">
      <c s="8" r="A1054"/>
      <c s="8" r="B1054"/>
      <c s="8" r="C1054"/>
      <c s="8" r="D1054"/>
      <c s="8" r="E1054"/>
      <c s="8" r="F1054"/>
      <c s="8" r="G1054"/>
      <c s="8" r="H1054"/>
      <c s="8" r="I1054"/>
      <c s="8" r="J1054"/>
      <c s="8" r="K1054"/>
      <c s="8" r="L1054"/>
      <c s="8" r="M1054"/>
      <c s="8" r="N1054"/>
      <c s="8" r="O1054"/>
      <c s="8" r="P1054"/>
      <c s="8" r="Q1054"/>
      <c s="8" r="R1054"/>
      <c s="8" r="S1054"/>
      <c s="8" r="T1054"/>
      <c s="8" r="U1054"/>
      <c s="8" r="V1054"/>
      <c s="8" r="W1054"/>
      <c s="8" r="X1054"/>
      <c s="8" r="Y1054"/>
      <c s="8" r="Z1054"/>
      <c s="8" r="AA1054"/>
    </row>
    <row r="1055">
      <c s="8" r="A1055"/>
      <c s="8" r="B1055"/>
      <c s="8" r="C1055"/>
      <c s="8" r="D1055"/>
      <c s="8" r="E1055"/>
      <c s="8" r="F1055"/>
      <c s="8" r="G1055"/>
      <c s="8" r="H1055"/>
      <c s="8" r="I1055"/>
      <c s="8" r="J1055"/>
      <c s="8" r="K1055"/>
      <c s="8" r="L1055"/>
      <c s="8" r="M1055"/>
      <c s="8" r="N1055"/>
      <c s="8" r="O1055"/>
      <c s="8" r="P1055"/>
      <c s="8" r="Q1055"/>
      <c s="8" r="R1055"/>
      <c s="8" r="S1055"/>
      <c s="8" r="T1055"/>
      <c s="8" r="U1055"/>
      <c s="8" r="V1055"/>
      <c s="8" r="W1055"/>
      <c s="8" r="X1055"/>
      <c s="8" r="Y1055"/>
      <c s="8" r="Z1055"/>
      <c s="8" r="AA1055"/>
    </row>
    <row r="1056">
      <c s="8" r="A1056"/>
      <c s="8" r="B1056"/>
      <c s="8" r="C1056"/>
      <c s="8" r="D1056"/>
      <c s="8" r="E1056"/>
      <c s="8" r="F1056"/>
      <c s="8" r="G1056"/>
      <c s="8" r="H1056"/>
      <c s="8" r="I1056"/>
      <c s="8" r="J1056"/>
      <c s="8" r="K1056"/>
      <c s="8" r="L1056"/>
      <c s="8" r="M1056"/>
      <c s="8" r="N1056"/>
      <c s="8" r="O1056"/>
      <c s="8" r="P1056"/>
      <c s="8" r="Q1056"/>
      <c s="8" r="R1056"/>
      <c s="8" r="S1056"/>
      <c s="8" r="T1056"/>
      <c s="8" r="U1056"/>
      <c s="8" r="V1056"/>
      <c s="8" r="W1056"/>
      <c s="8" r="X1056"/>
      <c s="8" r="Y1056"/>
      <c s="8" r="Z1056"/>
      <c s="8" r="AA1056"/>
    </row>
    <row r="1057">
      <c s="8" r="A1057"/>
      <c s="8" r="B1057"/>
      <c s="8" r="C1057"/>
      <c s="8" r="D1057"/>
      <c s="8" r="E1057"/>
      <c s="8" r="F1057"/>
      <c s="8" r="G1057"/>
      <c s="8" r="H1057"/>
      <c s="8" r="I1057"/>
      <c s="8" r="J1057"/>
      <c s="8" r="K1057"/>
      <c s="8" r="L1057"/>
      <c s="8" r="M1057"/>
      <c s="8" r="N1057"/>
      <c s="8" r="O1057"/>
      <c s="8" r="P1057"/>
      <c s="8" r="Q1057"/>
      <c s="8" r="R1057"/>
      <c s="8" r="S1057"/>
      <c s="8" r="T1057"/>
      <c s="8" r="U1057"/>
      <c s="8" r="V1057"/>
      <c s="8" r="W1057"/>
      <c s="8" r="X1057"/>
      <c s="8" r="Y1057"/>
      <c s="8" r="Z1057"/>
      <c s="8" r="AA1057"/>
    </row>
    <row r="1058">
      <c s="8" r="A1058"/>
      <c s="8" r="B1058"/>
      <c s="8" r="C1058"/>
      <c s="8" r="D1058"/>
      <c s="8" r="E1058"/>
      <c s="8" r="F1058"/>
      <c s="8" r="G1058"/>
      <c s="8" r="H1058"/>
      <c s="8" r="I1058"/>
      <c s="8" r="J1058"/>
      <c s="8" r="K1058"/>
      <c s="8" r="L1058"/>
      <c s="8" r="M1058"/>
      <c s="8" r="N1058"/>
      <c s="8" r="O1058"/>
      <c s="8" r="P1058"/>
      <c s="8" r="Q1058"/>
      <c s="8" r="R1058"/>
      <c s="8" r="S1058"/>
      <c s="8" r="T1058"/>
      <c s="8" r="U1058"/>
      <c s="8" r="V1058"/>
      <c s="8" r="W1058"/>
      <c s="8" r="X1058"/>
      <c s="8" r="Y1058"/>
      <c s="8" r="Z1058"/>
      <c s="8" r="AA1058"/>
    </row>
    <row r="1059">
      <c s="8" r="A1059"/>
      <c s="8" r="B1059"/>
      <c s="8" r="C1059"/>
      <c s="8" r="D1059"/>
      <c s="8" r="E1059"/>
      <c s="8" r="F1059"/>
      <c s="8" r="G1059"/>
      <c s="8" r="H1059"/>
      <c s="8" r="I1059"/>
      <c s="8" r="J1059"/>
      <c s="8" r="K1059"/>
      <c s="8" r="L1059"/>
      <c s="8" r="M1059"/>
      <c s="8" r="N1059"/>
      <c s="8" r="O1059"/>
      <c s="8" r="P1059"/>
      <c s="8" r="Q1059"/>
      <c s="8" r="R1059"/>
      <c s="8" r="S1059"/>
      <c s="8" r="T1059"/>
      <c s="8" r="U1059"/>
      <c s="8" r="V1059"/>
      <c s="8" r="W1059"/>
      <c s="8" r="X1059"/>
      <c s="8" r="Y1059"/>
      <c s="8" r="Z1059"/>
      <c s="8" r="AA1059"/>
    </row>
    <row r="1060">
      <c s="8" r="A1060"/>
      <c s="8" r="B1060"/>
      <c s="8" r="C1060"/>
      <c s="8" r="D1060"/>
      <c s="8" r="E1060"/>
      <c s="8" r="F1060"/>
      <c s="8" r="G1060"/>
      <c s="8" r="H1060"/>
      <c s="8" r="I1060"/>
      <c s="8" r="J1060"/>
      <c s="8" r="K1060"/>
      <c s="8" r="L1060"/>
      <c s="8" r="M1060"/>
      <c s="8" r="N1060"/>
      <c s="8" r="O1060"/>
      <c s="8" r="P1060"/>
      <c s="8" r="Q1060"/>
      <c s="8" r="R1060"/>
      <c s="8" r="S1060"/>
      <c s="8" r="T1060"/>
      <c s="8" r="U1060"/>
      <c s="8" r="V1060"/>
      <c s="8" r="W1060"/>
      <c s="8" r="X1060"/>
      <c s="8" r="Y1060"/>
      <c s="8" r="Z1060"/>
      <c s="8" r="AA1060"/>
    </row>
    <row r="1061">
      <c s="8" r="A1061"/>
      <c s="8" r="B1061"/>
      <c s="8" r="C1061"/>
      <c s="8" r="D1061"/>
      <c s="8" r="E1061"/>
      <c s="8" r="F1061"/>
      <c s="8" r="G1061"/>
      <c s="8" r="H1061"/>
      <c s="8" r="I1061"/>
      <c s="8" r="J1061"/>
      <c s="8" r="K1061"/>
      <c s="8" r="L1061"/>
      <c s="8" r="M1061"/>
      <c s="8" r="N1061"/>
      <c s="8" r="O1061"/>
      <c s="8" r="P1061"/>
      <c s="8" r="Q1061"/>
      <c s="8" r="R1061"/>
      <c s="8" r="S1061"/>
      <c s="8" r="T1061"/>
      <c s="8" r="U1061"/>
      <c s="8" r="V1061"/>
      <c s="8" r="W1061"/>
      <c s="8" r="X1061"/>
      <c s="8" r="Y1061"/>
      <c s="8" r="Z1061"/>
      <c s="8" r="AA1061"/>
    </row>
    <row r="1062">
      <c s="8" r="A1062"/>
      <c s="8" r="B1062"/>
      <c s="8" r="C1062"/>
      <c s="8" r="D1062"/>
      <c s="8" r="E1062"/>
      <c s="8" r="F1062"/>
      <c s="8" r="G1062"/>
      <c s="8" r="H1062"/>
      <c s="8" r="I1062"/>
      <c s="8" r="J1062"/>
      <c s="8" r="K1062"/>
      <c s="8" r="L1062"/>
      <c s="8" r="M1062"/>
      <c s="8" r="N1062"/>
      <c s="8" r="O1062"/>
      <c s="8" r="P1062"/>
      <c s="8" r="Q1062"/>
      <c s="8" r="R1062"/>
      <c s="8" r="S1062"/>
      <c s="8" r="T1062"/>
      <c s="8" r="U1062"/>
      <c s="8" r="V1062"/>
      <c s="8" r="W1062"/>
      <c s="8" r="X1062"/>
      <c s="8" r="Y1062"/>
      <c s="8" r="Z1062"/>
      <c s="8" r="AA1062"/>
    </row>
    <row r="1063">
      <c s="8" r="A1063"/>
      <c s="8" r="B1063"/>
      <c s="8" r="C1063"/>
      <c s="8" r="D1063"/>
      <c s="8" r="E1063"/>
      <c s="8" r="F1063"/>
      <c s="8" r="G1063"/>
      <c s="8" r="H1063"/>
      <c s="8" r="I1063"/>
      <c s="8" r="J1063"/>
      <c s="8" r="K1063"/>
      <c s="8" r="L1063"/>
      <c s="8" r="M1063"/>
      <c s="8" r="N1063"/>
      <c s="8" r="O1063"/>
      <c s="8" r="P1063"/>
      <c s="8" r="Q1063"/>
      <c s="8" r="R1063"/>
      <c s="8" r="S1063"/>
      <c s="8" r="T1063"/>
      <c s="8" r="U1063"/>
      <c s="8" r="V1063"/>
      <c s="8" r="W1063"/>
      <c s="8" r="X1063"/>
      <c s="8" r="Y1063"/>
      <c s="8" r="Z1063"/>
      <c s="8" r="AA1063"/>
    </row>
    <row r="1064">
      <c s="8" r="A1064"/>
      <c s="8" r="B1064"/>
      <c s="8" r="C1064"/>
      <c s="8" r="D1064"/>
      <c s="8" r="E1064"/>
      <c s="8" r="F1064"/>
      <c s="8" r="G1064"/>
      <c s="8" r="H1064"/>
      <c s="8" r="I1064"/>
      <c s="8" r="J1064"/>
      <c s="8" r="K1064"/>
      <c s="8" r="L1064"/>
      <c s="8" r="M1064"/>
      <c s="8" r="N1064"/>
      <c s="8" r="O1064"/>
      <c s="8" r="P1064"/>
      <c s="8" r="Q1064"/>
      <c s="8" r="R1064"/>
      <c s="8" r="S1064"/>
      <c s="8" r="T1064"/>
      <c s="8" r="U1064"/>
      <c s="8" r="V1064"/>
      <c s="8" r="W1064"/>
      <c s="8" r="X1064"/>
      <c s="8" r="Y1064"/>
      <c s="8" r="Z1064"/>
      <c s="8" r="AA1064"/>
    </row>
    <row r="1065">
      <c s="8" r="A1065"/>
      <c s="8" r="B1065"/>
      <c s="8" r="C1065"/>
      <c s="8" r="D1065"/>
      <c s="8" r="E1065"/>
      <c s="8" r="F1065"/>
      <c s="8" r="G1065"/>
      <c s="8" r="H1065"/>
      <c s="8" r="I1065"/>
      <c s="8" r="J1065"/>
      <c s="8" r="K1065"/>
      <c s="8" r="L1065"/>
      <c s="8" r="M1065"/>
      <c s="8" r="N1065"/>
      <c s="8" r="O1065"/>
      <c s="8" r="P1065"/>
      <c s="8" r="Q1065"/>
      <c s="8" r="R1065"/>
      <c s="8" r="S1065"/>
      <c s="8" r="T1065"/>
      <c s="8" r="U1065"/>
      <c s="8" r="V1065"/>
      <c s="8" r="W1065"/>
      <c s="8" r="X1065"/>
      <c s="8" r="Y1065"/>
      <c s="8" r="Z1065"/>
      <c s="8" r="AA1065"/>
    </row>
    <row r="1066">
      <c s="8" r="A1066"/>
      <c s="8" r="B1066"/>
      <c s="8" r="C1066"/>
      <c s="8" r="D1066"/>
      <c s="8" r="E1066"/>
      <c s="8" r="F1066"/>
      <c s="8" r="G1066"/>
      <c s="8" r="H1066"/>
      <c s="8" r="I1066"/>
      <c s="8" r="J1066"/>
      <c s="8" r="K1066"/>
      <c s="8" r="L1066"/>
      <c s="8" r="M1066"/>
      <c s="8" r="N1066"/>
      <c s="8" r="O1066"/>
      <c s="8" r="P1066"/>
      <c s="8" r="Q1066"/>
      <c s="8" r="R1066"/>
      <c s="8" r="S1066"/>
      <c s="8" r="T1066"/>
      <c s="8" r="U1066"/>
      <c s="8" r="V1066"/>
      <c s="8" r="W1066"/>
      <c s="8" r="X1066"/>
      <c s="8" r="Y1066"/>
      <c s="8" r="Z1066"/>
      <c s="8" r="AA1066"/>
    </row>
    <row r="1067">
      <c s="8" r="A1067"/>
      <c s="8" r="B1067"/>
      <c s="8" r="C1067"/>
      <c s="8" r="D1067"/>
      <c s="8" r="E1067"/>
      <c s="8" r="F1067"/>
      <c s="8" r="G1067"/>
      <c s="8" r="H1067"/>
      <c s="8" r="I1067"/>
      <c s="8" r="J1067"/>
      <c s="8" r="K1067"/>
      <c s="8" r="L1067"/>
      <c s="8" r="M1067"/>
      <c s="8" r="N1067"/>
      <c s="8" r="O1067"/>
      <c s="8" r="P1067"/>
      <c s="8" r="Q1067"/>
      <c s="8" r="R1067"/>
      <c s="8" r="S1067"/>
      <c s="8" r="T1067"/>
      <c s="8" r="U1067"/>
      <c s="8" r="V1067"/>
      <c s="8" r="W1067"/>
      <c s="8" r="X1067"/>
      <c s="8" r="Y1067"/>
      <c s="8" r="Z1067"/>
      <c s="8" r="AA1067"/>
    </row>
    <row r="1068">
      <c s="8" r="A1068"/>
      <c s="8" r="B1068"/>
      <c s="8" r="C1068"/>
      <c s="8" r="D1068"/>
      <c s="8" r="E1068"/>
      <c s="8" r="F1068"/>
      <c s="8" r="G1068"/>
      <c s="8" r="H1068"/>
      <c s="8" r="I1068"/>
      <c s="8" r="J1068"/>
      <c s="8" r="K1068"/>
      <c s="8" r="L1068"/>
      <c s="8" r="M1068"/>
      <c s="8" r="N1068"/>
      <c s="8" r="O1068"/>
      <c s="8" r="P1068"/>
      <c s="8" r="Q1068"/>
      <c s="8" r="R1068"/>
      <c s="8" r="S1068"/>
      <c s="8" r="T1068"/>
      <c s="8" r="U1068"/>
      <c s="8" r="V1068"/>
      <c s="8" r="W1068"/>
      <c s="8" r="X1068"/>
      <c s="8" r="Y1068"/>
      <c s="8" r="Z1068"/>
      <c s="8" r="AA1068"/>
    </row>
    <row r="1069">
      <c s="8" r="A1069"/>
      <c s="8" r="B1069"/>
      <c s="8" r="C1069"/>
      <c s="8" r="D1069"/>
      <c s="8" r="E1069"/>
      <c s="8" r="F1069"/>
      <c s="8" r="G1069"/>
      <c s="8" r="H1069"/>
      <c s="8" r="I1069"/>
      <c s="8" r="J1069"/>
      <c s="8" r="K1069"/>
      <c s="8" r="L1069"/>
      <c s="8" r="M1069"/>
      <c s="8" r="N1069"/>
      <c s="8" r="O1069"/>
      <c s="8" r="P1069"/>
      <c s="8" r="Q1069"/>
      <c s="8" r="R1069"/>
      <c s="8" r="S1069"/>
      <c s="8" r="T1069"/>
      <c s="8" r="U1069"/>
      <c s="8" r="V1069"/>
      <c s="8" r="W1069"/>
      <c s="8" r="X1069"/>
      <c s="8" r="Y1069"/>
      <c s="8" r="Z1069"/>
      <c s="8" r="AA1069"/>
    </row>
    <row r="1070">
      <c s="8" r="A1070"/>
      <c s="8" r="B1070"/>
      <c s="8" r="C1070"/>
      <c s="8" r="D1070"/>
      <c s="8" r="E1070"/>
      <c s="8" r="F1070"/>
      <c s="8" r="G1070"/>
      <c s="8" r="H1070"/>
      <c s="8" r="I1070"/>
      <c s="8" r="J1070"/>
      <c s="8" r="K1070"/>
      <c s="8" r="L1070"/>
      <c s="8" r="M1070"/>
      <c s="8" r="N1070"/>
      <c s="8" r="O1070"/>
      <c s="8" r="P1070"/>
      <c s="8" r="Q1070"/>
      <c s="8" r="R1070"/>
      <c s="8" r="S1070"/>
      <c s="8" r="T1070"/>
      <c s="8" r="U1070"/>
      <c s="8" r="V1070"/>
      <c s="8" r="W1070"/>
      <c s="8" r="X1070"/>
      <c s="8" r="Y1070"/>
      <c s="8" r="Z1070"/>
      <c s="8" r="AA1070"/>
    </row>
    <row r="1071">
      <c s="8" r="A1071"/>
      <c s="8" r="B1071"/>
      <c s="8" r="C1071"/>
      <c s="8" r="D1071"/>
      <c s="8" r="E1071"/>
      <c s="8" r="F1071"/>
      <c s="8" r="G1071"/>
      <c s="8" r="H1071"/>
      <c s="8" r="I1071"/>
      <c s="8" r="J1071"/>
      <c s="8" r="K1071"/>
      <c s="8" r="L1071"/>
      <c s="8" r="M1071"/>
      <c s="8" r="N1071"/>
      <c s="8" r="O1071"/>
      <c s="8" r="P1071"/>
      <c s="8" r="Q1071"/>
      <c s="8" r="R1071"/>
      <c s="8" r="S1071"/>
      <c s="8" r="T1071"/>
      <c s="8" r="U1071"/>
      <c s="8" r="V1071"/>
      <c s="8" r="W1071"/>
      <c s="8" r="X1071"/>
      <c s="8" r="Y1071"/>
      <c s="8" r="Z1071"/>
      <c s="8" r="AA1071"/>
    </row>
    <row r="1072">
      <c s="8" r="A1072"/>
      <c s="8" r="B1072"/>
      <c s="8" r="C1072"/>
      <c s="8" r="D1072"/>
      <c s="8" r="E1072"/>
      <c s="8" r="F1072"/>
      <c s="8" r="G1072"/>
      <c s="8" r="H1072"/>
      <c s="8" r="I1072"/>
      <c s="8" r="J1072"/>
      <c s="8" r="K1072"/>
      <c s="8" r="L1072"/>
      <c s="8" r="M1072"/>
      <c s="8" r="N1072"/>
      <c s="8" r="O1072"/>
      <c s="8" r="P1072"/>
      <c s="8" r="Q1072"/>
      <c s="8" r="R1072"/>
      <c s="8" r="S1072"/>
      <c s="8" r="T1072"/>
      <c s="8" r="U1072"/>
      <c s="8" r="V1072"/>
      <c s="8" r="W1072"/>
      <c s="8" r="X1072"/>
      <c s="8" r="Y1072"/>
      <c s="8" r="Z1072"/>
      <c s="8" r="AA1072"/>
    </row>
    <row r="1073">
      <c s="8" r="A1073"/>
      <c s="8" r="B1073"/>
      <c s="8" r="C1073"/>
      <c s="8" r="D1073"/>
      <c s="8" r="E1073"/>
      <c s="8" r="F1073"/>
      <c s="8" r="G1073"/>
      <c s="8" r="H1073"/>
      <c s="8" r="I1073"/>
      <c s="8" r="J1073"/>
      <c s="8" r="K1073"/>
      <c s="8" r="L1073"/>
      <c s="8" r="M1073"/>
      <c s="8" r="N1073"/>
      <c s="8" r="O1073"/>
      <c s="8" r="P1073"/>
      <c s="8" r="Q1073"/>
      <c s="8" r="R1073"/>
      <c s="8" r="S1073"/>
      <c s="8" r="T1073"/>
      <c s="8" r="U1073"/>
      <c s="8" r="V1073"/>
      <c s="8" r="W1073"/>
      <c s="8" r="X1073"/>
      <c s="8" r="Y1073"/>
      <c s="8" r="Z1073"/>
      <c s="8" r="AA1073"/>
    </row>
    <row r="1074">
      <c s="8" r="A1074"/>
      <c s="8" r="B1074"/>
      <c s="8" r="C1074"/>
      <c s="8" r="D1074"/>
      <c s="8" r="E1074"/>
      <c s="8" r="F1074"/>
      <c s="8" r="G1074"/>
      <c s="8" r="H1074"/>
      <c s="8" r="I1074"/>
      <c s="8" r="J1074"/>
      <c s="8" r="K1074"/>
      <c s="8" r="L1074"/>
      <c s="8" r="M1074"/>
      <c s="8" r="N1074"/>
      <c s="8" r="O1074"/>
      <c s="8" r="P1074"/>
      <c s="8" r="Q1074"/>
      <c s="8" r="R1074"/>
      <c s="8" r="S1074"/>
      <c s="8" r="T1074"/>
      <c s="8" r="U1074"/>
      <c s="8" r="V1074"/>
      <c s="8" r="W1074"/>
      <c s="8" r="X1074"/>
      <c s="8" r="Y1074"/>
      <c s="8" r="Z1074"/>
      <c s="8" r="AA1074"/>
    </row>
    <row r="1075">
      <c s="8" r="A1075"/>
      <c s="8" r="B1075"/>
      <c s="8" r="C1075"/>
      <c s="8" r="D1075"/>
      <c s="8" r="E1075"/>
      <c s="8" r="F1075"/>
      <c s="8" r="G1075"/>
      <c s="8" r="H1075"/>
      <c s="8" r="I1075"/>
      <c s="8" r="J1075"/>
      <c s="8" r="K1075"/>
      <c s="8" r="L1075"/>
      <c s="8" r="M1075"/>
      <c s="8" r="N1075"/>
      <c s="8" r="O1075"/>
      <c s="8" r="P1075"/>
      <c s="8" r="Q1075"/>
      <c s="8" r="R1075"/>
      <c s="8" r="S1075"/>
      <c s="8" r="T1075"/>
      <c s="8" r="U1075"/>
      <c s="8" r="V1075"/>
      <c s="8" r="W1075"/>
      <c s="8" r="X1075"/>
      <c s="8" r="Y1075"/>
      <c s="8" r="Z1075"/>
      <c s="8" r="AA1075"/>
    </row>
    <row r="1076">
      <c s="8" r="A1076"/>
      <c s="8" r="B1076"/>
      <c s="8" r="C1076"/>
      <c s="8" r="D1076"/>
      <c s="8" r="E1076"/>
      <c s="8" r="F1076"/>
      <c s="8" r="G1076"/>
      <c s="8" r="H1076"/>
      <c s="8" r="I1076"/>
      <c s="8" r="J1076"/>
      <c s="8" r="K1076"/>
      <c s="8" r="L1076"/>
      <c s="8" r="M1076"/>
      <c s="8" r="N1076"/>
      <c s="8" r="O1076"/>
      <c s="8" r="P1076"/>
      <c s="8" r="Q1076"/>
      <c s="8" r="R1076"/>
      <c s="8" r="S1076"/>
      <c s="8" r="T1076"/>
      <c s="8" r="U1076"/>
      <c s="8" r="V1076"/>
      <c s="8" r="W1076"/>
      <c s="8" r="X1076"/>
      <c s="8" r="Y1076"/>
      <c s="8" r="Z1076"/>
      <c s="8" r="AA1076"/>
    </row>
    <row r="1077">
      <c s="8" r="A1077"/>
      <c s="8" r="B1077"/>
      <c s="8" r="C1077"/>
      <c s="8" r="D1077"/>
      <c s="8" r="E1077"/>
      <c s="8" r="F1077"/>
      <c s="8" r="G1077"/>
      <c s="8" r="H1077"/>
      <c s="8" r="I1077"/>
      <c s="8" r="J1077"/>
      <c s="8" r="K1077"/>
      <c s="8" r="L1077"/>
      <c s="8" r="M1077"/>
      <c s="8" r="N1077"/>
      <c s="8" r="O1077"/>
      <c s="8" r="P1077"/>
      <c s="8" r="Q1077"/>
      <c s="8" r="R1077"/>
      <c s="8" r="S1077"/>
      <c s="8" r="T1077"/>
      <c s="8" r="U1077"/>
      <c s="8" r="V1077"/>
      <c s="8" r="W1077"/>
      <c s="8" r="X1077"/>
      <c s="8" r="Y1077"/>
      <c s="8" r="Z1077"/>
      <c s="8" r="AA1077"/>
    </row>
    <row r="1078">
      <c s="8" r="A1078"/>
      <c s="8" r="B1078"/>
      <c s="8" r="C1078"/>
      <c s="8" r="D1078"/>
      <c s="8" r="E1078"/>
      <c s="8" r="F1078"/>
      <c s="8" r="G1078"/>
      <c s="8" r="H1078"/>
      <c s="8" r="I1078"/>
      <c s="8" r="J1078"/>
      <c s="8" r="K1078"/>
      <c s="8" r="L1078"/>
      <c s="8" r="M1078"/>
      <c s="8" r="N1078"/>
      <c s="8" r="O1078"/>
      <c s="8" r="P1078"/>
      <c s="8" r="Q1078"/>
      <c s="8" r="R1078"/>
      <c s="8" r="S1078"/>
      <c s="8" r="T1078"/>
      <c s="8" r="U1078"/>
      <c s="8" r="V1078"/>
      <c s="8" r="W1078"/>
      <c s="8" r="X1078"/>
      <c s="8" r="Y1078"/>
      <c s="8" r="Z1078"/>
      <c s="8" r="AA1078"/>
    </row>
    <row r="1079">
      <c s="8" r="A1079"/>
      <c s="8" r="B1079"/>
      <c s="8" r="C1079"/>
      <c s="8" r="D1079"/>
      <c s="8" r="E1079"/>
      <c s="8" r="F1079"/>
      <c s="8" r="G1079"/>
      <c s="8" r="H1079"/>
      <c s="8" r="I1079"/>
      <c s="8" r="J1079"/>
      <c s="8" r="K1079"/>
      <c s="8" r="L1079"/>
      <c s="8" r="M1079"/>
      <c s="8" r="N1079"/>
      <c s="8" r="O1079"/>
      <c s="8" r="P1079"/>
      <c s="8" r="Q1079"/>
      <c s="8" r="R1079"/>
      <c s="8" r="S1079"/>
      <c s="8" r="T1079"/>
      <c s="8" r="U1079"/>
      <c s="8" r="V1079"/>
      <c s="8" r="W1079"/>
      <c s="8" r="X1079"/>
      <c s="8" r="Y1079"/>
      <c s="8" r="Z1079"/>
      <c s="8" r="AA1079"/>
    </row>
    <row r="1080">
      <c s="8" r="A1080"/>
      <c s="8" r="B1080"/>
      <c s="8" r="C1080"/>
      <c s="8" r="D1080"/>
      <c s="8" r="E1080"/>
      <c s="8" r="F1080"/>
      <c s="8" r="G1080"/>
      <c s="8" r="H1080"/>
      <c s="8" r="I1080"/>
      <c s="8" r="J1080"/>
      <c s="8" r="K1080"/>
      <c s="8" r="L1080"/>
      <c s="8" r="M1080"/>
      <c s="8" r="N1080"/>
      <c s="8" r="O1080"/>
      <c s="8" r="P1080"/>
      <c s="8" r="Q1080"/>
      <c s="8" r="R1080"/>
      <c s="8" r="S1080"/>
      <c s="8" r="T1080"/>
      <c s="8" r="U1080"/>
      <c s="8" r="V1080"/>
      <c s="8" r="W1080"/>
      <c s="8" r="X1080"/>
      <c s="8" r="Y1080"/>
      <c s="8" r="Z1080"/>
      <c s="8" r="AA1080"/>
    </row>
    <row r="1081">
      <c s="8" r="A1081"/>
      <c s="8" r="B1081"/>
      <c s="8" r="C1081"/>
      <c s="8" r="D1081"/>
      <c s="8" r="E1081"/>
      <c s="8" r="F1081"/>
      <c s="8" r="G1081"/>
      <c s="8" r="H1081"/>
      <c s="8" r="I1081"/>
      <c s="8" r="J1081"/>
      <c s="8" r="K1081"/>
      <c s="8" r="L1081"/>
      <c s="8" r="M1081"/>
      <c s="8" r="N1081"/>
      <c s="8" r="O1081"/>
      <c s="8" r="P1081"/>
      <c s="8" r="Q1081"/>
      <c s="8" r="R1081"/>
      <c s="8" r="S1081"/>
      <c s="8" r="T1081"/>
      <c s="8" r="U1081"/>
      <c s="8" r="V1081"/>
      <c s="8" r="W1081"/>
      <c s="8" r="X1081"/>
      <c s="8" r="Y1081"/>
      <c s="8" r="Z1081"/>
      <c s="8" r="AA1081"/>
    </row>
    <row r="1082">
      <c s="8" r="A1082"/>
      <c s="8" r="B1082"/>
      <c s="8" r="C1082"/>
      <c s="8" r="D1082"/>
      <c s="8" r="E1082"/>
      <c s="8" r="F1082"/>
      <c s="8" r="G1082"/>
      <c s="8" r="H1082"/>
      <c s="8" r="I1082"/>
      <c s="8" r="J1082"/>
      <c s="8" r="K1082"/>
      <c s="8" r="L1082"/>
      <c s="8" r="M1082"/>
      <c s="8" r="N1082"/>
      <c s="8" r="O1082"/>
      <c s="8" r="P1082"/>
      <c s="8" r="Q1082"/>
      <c s="8" r="R1082"/>
      <c s="8" r="S1082"/>
      <c s="8" r="T1082"/>
      <c s="8" r="U1082"/>
      <c s="8" r="V1082"/>
      <c s="8" r="W1082"/>
      <c s="8" r="X1082"/>
      <c s="8" r="Y1082"/>
      <c s="8" r="Z1082"/>
      <c s="8" r="AA1082"/>
    </row>
    <row r="1083">
      <c s="8" r="A1083"/>
      <c s="8" r="B1083"/>
      <c s="8" r="C1083"/>
      <c s="8" r="D1083"/>
      <c s="8" r="E1083"/>
      <c s="8" r="F1083"/>
      <c s="8" r="G1083"/>
      <c s="8" r="H1083"/>
      <c s="8" r="I1083"/>
      <c s="8" r="J1083"/>
      <c s="8" r="K1083"/>
      <c s="8" r="L1083"/>
      <c s="8" r="M1083"/>
      <c s="8" r="N1083"/>
      <c s="8" r="O1083"/>
      <c s="8" r="P1083"/>
      <c s="8" r="Q1083"/>
      <c s="8" r="R1083"/>
      <c s="8" r="S1083"/>
      <c s="8" r="T1083"/>
      <c s="8" r="U1083"/>
      <c s="8" r="V1083"/>
      <c s="8" r="W1083"/>
      <c s="8" r="X1083"/>
      <c s="8" r="Y1083"/>
      <c s="8" r="Z1083"/>
      <c s="8" r="AA1083"/>
    </row>
    <row r="1084">
      <c s="8" r="A1084"/>
      <c s="8" r="B1084"/>
      <c s="8" r="C1084"/>
      <c s="8" r="D1084"/>
      <c s="8" r="E1084"/>
      <c s="8" r="F1084"/>
      <c s="8" r="G1084"/>
      <c s="8" r="H1084"/>
      <c s="8" r="I1084"/>
      <c s="8" r="J1084"/>
      <c s="8" r="K1084"/>
      <c s="8" r="L1084"/>
      <c s="8" r="M1084"/>
      <c s="8" r="N1084"/>
      <c s="8" r="O1084"/>
      <c s="8" r="P1084"/>
      <c s="8" r="Q1084"/>
      <c s="8" r="R1084"/>
      <c s="8" r="S1084"/>
      <c s="8" r="T1084"/>
      <c s="8" r="U1084"/>
      <c s="8" r="V1084"/>
      <c s="8" r="W1084"/>
      <c s="8" r="X1084"/>
      <c s="8" r="Y1084"/>
      <c s="8" r="Z1084"/>
      <c s="8" r="AA1084"/>
    </row>
    <row r="1085">
      <c s="8" r="A1085"/>
      <c s="8" r="B1085"/>
      <c s="8" r="C1085"/>
      <c s="8" r="D1085"/>
      <c s="8" r="E1085"/>
      <c s="8" r="F1085"/>
      <c s="8" r="G1085"/>
      <c s="8" r="H1085"/>
      <c s="8" r="I1085"/>
      <c s="8" r="J1085"/>
      <c s="8" r="K1085"/>
      <c s="8" r="L1085"/>
      <c s="8" r="M1085"/>
      <c s="8" r="N1085"/>
      <c s="8" r="O1085"/>
      <c s="8" r="P1085"/>
      <c s="8" r="Q1085"/>
      <c s="8" r="R1085"/>
      <c s="8" r="S1085"/>
      <c s="8" r="T1085"/>
      <c s="8" r="U1085"/>
      <c s="8" r="V1085"/>
      <c s="8" r="W1085"/>
      <c s="8" r="X1085"/>
      <c s="8" r="Y1085"/>
      <c s="8" r="Z1085"/>
      <c s="8" r="AA1085"/>
    </row>
    <row r="1086">
      <c s="8" r="A1086"/>
      <c s="8" r="B1086"/>
      <c s="8" r="C1086"/>
      <c s="8" r="D1086"/>
      <c s="8" r="E1086"/>
      <c s="8" r="F1086"/>
      <c s="8" r="G1086"/>
      <c s="8" r="H1086"/>
      <c s="8" r="I1086"/>
      <c s="8" r="J1086"/>
      <c s="8" r="K1086"/>
      <c s="8" r="L1086"/>
      <c s="8" r="M1086"/>
      <c s="8" r="N1086"/>
      <c s="8" r="O1086"/>
      <c s="8" r="P1086"/>
      <c s="8" r="Q1086"/>
      <c s="8" r="R1086"/>
      <c s="8" r="S1086"/>
      <c s="8" r="T1086"/>
      <c s="8" r="U1086"/>
      <c s="8" r="V1086"/>
      <c s="8" r="W1086"/>
      <c s="8" r="X1086"/>
      <c s="8" r="Y1086"/>
      <c s="8" r="Z1086"/>
      <c s="8" r="AA1086"/>
    </row>
    <row r="1087">
      <c s="8" r="A1087"/>
      <c s="8" r="B1087"/>
      <c s="8" r="C1087"/>
      <c s="8" r="D1087"/>
      <c s="8" r="E1087"/>
      <c s="8" r="F1087"/>
      <c s="8" r="G1087"/>
      <c s="8" r="H1087"/>
      <c s="8" r="I1087"/>
      <c s="8" r="J1087"/>
      <c s="8" r="K1087"/>
      <c s="8" r="L1087"/>
      <c s="8" r="M1087"/>
      <c s="8" r="N1087"/>
      <c s="8" r="O1087"/>
      <c s="8" r="P1087"/>
      <c s="8" r="Q1087"/>
      <c s="8" r="R1087"/>
      <c s="8" r="S1087"/>
      <c s="8" r="T1087"/>
      <c s="8" r="U1087"/>
      <c s="8" r="V1087"/>
      <c s="8" r="W1087"/>
      <c s="8" r="X1087"/>
      <c s="8" r="Y1087"/>
      <c s="8" r="Z1087"/>
      <c s="8" r="AA1087"/>
    </row>
    <row r="1088">
      <c s="8" r="A1088"/>
      <c s="8" r="B1088"/>
      <c s="8" r="C1088"/>
      <c s="8" r="D1088"/>
      <c s="8" r="E1088"/>
      <c s="8" r="F1088"/>
      <c s="8" r="G1088"/>
      <c s="8" r="H1088"/>
      <c s="8" r="I1088"/>
      <c s="8" r="J1088"/>
      <c s="8" r="K1088"/>
      <c s="8" r="L1088"/>
      <c s="8" r="M1088"/>
      <c s="8" r="N1088"/>
      <c s="8" r="O1088"/>
      <c s="8" r="P1088"/>
      <c s="8" r="Q1088"/>
      <c s="8" r="R1088"/>
      <c s="8" r="S1088"/>
      <c s="8" r="T1088"/>
      <c s="8" r="U1088"/>
      <c s="8" r="V1088"/>
      <c s="8" r="W1088"/>
      <c s="8" r="X1088"/>
      <c s="8" r="Y1088"/>
      <c s="8" r="Z1088"/>
      <c s="8" r="AA1088"/>
    </row>
    <row r="1089">
      <c s="8" r="A1089"/>
      <c s="8" r="B1089"/>
      <c s="8" r="C1089"/>
      <c s="8" r="D1089"/>
      <c s="8" r="E1089"/>
      <c s="8" r="F1089"/>
      <c s="8" r="G1089"/>
      <c s="8" r="H1089"/>
      <c s="8" r="I1089"/>
      <c s="8" r="J1089"/>
      <c s="8" r="K1089"/>
      <c s="8" r="L1089"/>
      <c s="8" r="M1089"/>
      <c s="8" r="N1089"/>
      <c s="8" r="O1089"/>
      <c s="8" r="P1089"/>
      <c s="8" r="Q1089"/>
      <c s="8" r="R1089"/>
      <c s="8" r="S1089"/>
      <c s="8" r="T1089"/>
      <c s="8" r="U1089"/>
      <c s="8" r="V1089"/>
      <c s="8" r="W1089"/>
      <c s="8" r="X1089"/>
      <c s="8" r="Y1089"/>
      <c s="8" r="Z1089"/>
      <c s="8" r="AA1089"/>
    </row>
    <row r="1090">
      <c s="8" r="A1090"/>
      <c s="8" r="B1090"/>
      <c s="8" r="C1090"/>
      <c s="8" r="D1090"/>
      <c s="8" r="E1090"/>
      <c s="8" r="F1090"/>
      <c s="8" r="G1090"/>
      <c s="8" r="H1090"/>
      <c s="8" r="I1090"/>
      <c s="8" r="J1090"/>
      <c s="8" r="K1090"/>
      <c s="8" r="L1090"/>
      <c s="8" r="M1090"/>
      <c s="8" r="N1090"/>
      <c s="8" r="O1090"/>
      <c s="8" r="P1090"/>
      <c s="8" r="Q1090"/>
      <c s="8" r="R1090"/>
      <c s="8" r="S1090"/>
      <c s="8" r="T1090"/>
      <c s="8" r="U1090"/>
      <c s="8" r="V1090"/>
      <c s="8" r="W1090"/>
      <c s="8" r="X1090"/>
      <c s="8" r="Y1090"/>
      <c s="8" r="Z1090"/>
      <c s="8" r="AA1090"/>
    </row>
    <row r="1091">
      <c s="8" r="A1091"/>
      <c s="8" r="B1091"/>
      <c s="8" r="C1091"/>
      <c s="8" r="D1091"/>
      <c s="8" r="E1091"/>
      <c s="8" r="F1091"/>
      <c s="8" r="G1091"/>
      <c s="8" r="H1091"/>
      <c s="8" r="I1091"/>
      <c s="8" r="J1091"/>
      <c s="8" r="K1091"/>
      <c s="8" r="L1091"/>
      <c s="8" r="M1091"/>
      <c s="8" r="N1091"/>
      <c s="8" r="O1091"/>
      <c s="8" r="P1091"/>
      <c s="8" r="Q1091"/>
      <c s="8" r="R1091"/>
      <c s="8" r="S1091"/>
      <c s="8" r="T1091"/>
      <c s="8" r="U1091"/>
      <c s="8" r="V1091"/>
      <c s="8" r="W1091"/>
      <c s="8" r="X1091"/>
      <c s="8" r="Y1091"/>
      <c s="8" r="Z1091"/>
      <c s="8" r="AA1091"/>
    </row>
    <row r="1092">
      <c s="8" r="A1092"/>
      <c s="8" r="B1092"/>
      <c s="8" r="C1092"/>
      <c s="8" r="D1092"/>
      <c s="8" r="E1092"/>
      <c s="8" r="F1092"/>
      <c s="8" r="G1092"/>
      <c s="8" r="H1092"/>
      <c s="8" r="I1092"/>
      <c s="8" r="J1092"/>
      <c s="8" r="K1092"/>
      <c s="8" r="L1092"/>
      <c s="8" r="M1092"/>
      <c s="8" r="N1092"/>
      <c s="8" r="O1092"/>
      <c s="8" r="P1092"/>
      <c s="8" r="Q1092"/>
      <c s="8" r="R1092"/>
      <c s="8" r="S1092"/>
      <c s="8" r="T1092"/>
      <c s="8" r="U1092"/>
      <c s="8" r="V1092"/>
      <c s="8" r="W1092"/>
      <c s="8" r="X1092"/>
      <c s="8" r="Y1092"/>
      <c s="8" r="Z1092"/>
      <c s="8" r="AA1092"/>
    </row>
    <row r="1093">
      <c s="8" r="A1093"/>
      <c s="8" r="B1093"/>
      <c s="8" r="C1093"/>
      <c s="8" r="D1093"/>
      <c s="8" r="E1093"/>
      <c s="8" r="F1093"/>
      <c s="8" r="G1093"/>
      <c s="8" r="H1093"/>
      <c s="8" r="I1093"/>
      <c s="8" r="J1093"/>
      <c s="8" r="K1093"/>
      <c s="8" r="L1093"/>
      <c s="8" r="M1093"/>
      <c s="8" r="N1093"/>
      <c s="8" r="O1093"/>
      <c s="8" r="P1093"/>
      <c s="8" r="Q1093"/>
      <c s="8" r="R1093"/>
      <c s="8" r="S1093"/>
      <c s="8" r="T1093"/>
      <c s="8" r="U1093"/>
      <c s="8" r="V1093"/>
      <c s="8" r="W1093"/>
      <c s="8" r="X1093"/>
      <c s="8" r="Y1093"/>
      <c s="8" r="Z1093"/>
      <c s="8" r="AA1093"/>
    </row>
    <row r="1094">
      <c s="8" r="A1094"/>
      <c s="8" r="B1094"/>
      <c s="8" r="C1094"/>
      <c s="8" r="D1094"/>
      <c s="8" r="E1094"/>
      <c s="8" r="F1094"/>
      <c s="8" r="G1094"/>
      <c s="8" r="H1094"/>
      <c s="8" r="I1094"/>
      <c s="8" r="J1094"/>
      <c s="8" r="K1094"/>
      <c s="8" r="L1094"/>
      <c s="8" r="M1094"/>
      <c s="8" r="N1094"/>
      <c s="8" r="O1094"/>
      <c s="8" r="P1094"/>
      <c s="8" r="Q1094"/>
      <c s="8" r="R1094"/>
      <c s="8" r="S1094"/>
      <c s="8" r="T1094"/>
      <c s="8" r="U1094"/>
      <c s="8" r="V1094"/>
      <c s="8" r="W1094"/>
      <c s="8" r="X1094"/>
      <c s="8" r="Y1094"/>
      <c s="8" r="Z1094"/>
      <c s="8" r="AA1094"/>
    </row>
    <row r="1095">
      <c s="8" r="A1095"/>
      <c s="8" r="B1095"/>
      <c s="8" r="C1095"/>
      <c s="8" r="D1095"/>
      <c s="8" r="E1095"/>
      <c s="8" r="F1095"/>
      <c s="8" r="G1095"/>
      <c s="8" r="H1095"/>
      <c s="8" r="I1095"/>
      <c s="8" r="J1095"/>
      <c s="8" r="K1095"/>
      <c s="8" r="L1095"/>
      <c s="8" r="M1095"/>
      <c s="8" r="N1095"/>
      <c s="8" r="O1095"/>
      <c s="8" r="P1095"/>
      <c s="8" r="Q1095"/>
      <c s="8" r="R1095"/>
      <c s="8" r="S1095"/>
      <c s="8" r="T1095"/>
      <c s="8" r="U1095"/>
      <c s="8" r="V1095"/>
      <c s="8" r="W1095"/>
      <c s="8" r="X1095"/>
      <c s="8" r="Y1095"/>
      <c s="8" r="Z1095"/>
      <c s="8" r="AA1095"/>
    </row>
    <row r="1096">
      <c s="8" r="A1096"/>
      <c s="8" r="B1096"/>
      <c s="8" r="C1096"/>
      <c s="8" r="D1096"/>
      <c s="8" r="E1096"/>
      <c s="8" r="F1096"/>
      <c s="8" r="G1096"/>
      <c s="8" r="H1096"/>
      <c s="8" r="I1096"/>
      <c s="8" r="J1096"/>
      <c s="8" r="K1096"/>
      <c s="8" r="L1096"/>
      <c s="8" r="M1096"/>
      <c s="8" r="N1096"/>
      <c s="8" r="O1096"/>
      <c s="8" r="P1096"/>
      <c s="8" r="Q1096"/>
      <c s="8" r="R1096"/>
      <c s="8" r="S1096"/>
      <c s="8" r="T1096"/>
      <c s="8" r="U1096"/>
      <c s="8" r="V1096"/>
      <c s="8" r="W1096"/>
      <c s="8" r="X1096"/>
      <c s="8" r="Y1096"/>
      <c s="8" r="Z1096"/>
      <c s="8" r="AA1096"/>
    </row>
    <row r="1097">
      <c s="8" r="A1097"/>
      <c s="8" r="B1097"/>
      <c s="8" r="C1097"/>
      <c s="8" r="D1097"/>
      <c s="8" r="E1097"/>
      <c s="8" r="F1097"/>
      <c s="8" r="G1097"/>
      <c s="8" r="H1097"/>
      <c s="8" r="I1097"/>
      <c s="8" r="J1097"/>
      <c s="8" r="K1097"/>
      <c s="8" r="L1097"/>
      <c s="8" r="M1097"/>
      <c s="8" r="N1097"/>
      <c s="8" r="O1097"/>
      <c s="8" r="P1097"/>
      <c s="8" r="Q1097"/>
      <c s="8" r="R1097"/>
      <c s="8" r="S1097"/>
      <c s="8" r="T1097"/>
      <c s="8" r="U1097"/>
      <c s="8" r="V1097"/>
      <c s="8" r="W1097"/>
      <c s="8" r="X1097"/>
      <c s="8" r="Y1097"/>
      <c s="8" r="Z1097"/>
      <c s="8" r="AA1097"/>
    </row>
    <row r="1098">
      <c s="8" r="A1098"/>
      <c s="8" r="B1098"/>
      <c s="8" r="C1098"/>
      <c s="8" r="D1098"/>
      <c s="8" r="E1098"/>
      <c s="8" r="F1098"/>
      <c s="8" r="G1098"/>
      <c s="8" r="H1098"/>
      <c s="8" r="I1098"/>
      <c s="8" r="J1098"/>
      <c s="8" r="K1098"/>
      <c s="8" r="L1098"/>
      <c s="8" r="M1098"/>
      <c s="8" r="N1098"/>
      <c s="8" r="O1098"/>
      <c s="8" r="P1098"/>
      <c s="8" r="Q1098"/>
      <c s="8" r="R1098"/>
      <c s="8" r="S1098"/>
      <c s="8" r="T1098"/>
      <c s="8" r="U1098"/>
      <c s="8" r="V1098"/>
      <c s="8" r="W1098"/>
      <c s="8" r="X1098"/>
      <c s="8" r="Y1098"/>
      <c s="8" r="Z1098"/>
      <c s="8" r="AA1098"/>
    </row>
    <row r="1099">
      <c s="8" r="A1099"/>
      <c s="8" r="B1099"/>
      <c s="8" r="C1099"/>
      <c s="8" r="D1099"/>
      <c s="8" r="E1099"/>
      <c s="8" r="F1099"/>
      <c s="8" r="G1099"/>
      <c s="8" r="H1099"/>
      <c s="8" r="I1099"/>
      <c s="8" r="J1099"/>
      <c s="8" r="K1099"/>
      <c s="8" r="L1099"/>
      <c s="8" r="M1099"/>
      <c s="8" r="N1099"/>
      <c s="8" r="O1099"/>
      <c s="8" r="P1099"/>
      <c s="8" r="Q1099"/>
      <c s="8" r="R1099"/>
      <c s="8" r="S1099"/>
      <c s="8" r="T1099"/>
      <c s="8" r="U1099"/>
      <c s="8" r="V1099"/>
      <c s="8" r="W1099"/>
      <c s="8" r="X1099"/>
      <c s="8" r="Y1099"/>
      <c s="8" r="Z1099"/>
      <c s="8" r="AA1099"/>
    </row>
    <row r="1100">
      <c s="8" r="A1100"/>
      <c s="8" r="B1100"/>
      <c s="8" r="C1100"/>
      <c s="8" r="D1100"/>
      <c s="8" r="E1100"/>
      <c s="8" r="F1100"/>
      <c s="8" r="G1100"/>
      <c s="8" r="H1100"/>
      <c s="8" r="I1100"/>
      <c s="8" r="J1100"/>
      <c s="8" r="K1100"/>
      <c s="8" r="L1100"/>
      <c s="8" r="M1100"/>
      <c s="8" r="N1100"/>
      <c s="8" r="O1100"/>
      <c s="8" r="P1100"/>
      <c s="8" r="Q1100"/>
      <c s="8" r="R1100"/>
      <c s="8" r="S1100"/>
      <c s="8" r="T1100"/>
      <c s="8" r="U1100"/>
      <c s="8" r="V1100"/>
      <c s="8" r="W1100"/>
      <c s="8" r="X1100"/>
      <c s="8" r="Y1100"/>
      <c s="8" r="Z1100"/>
      <c s="8" r="AA1100"/>
    </row>
    <row r="1101">
      <c s="8" r="A1101"/>
      <c s="8" r="B1101"/>
      <c s="8" r="C1101"/>
      <c s="8" r="D1101"/>
      <c s="8" r="E1101"/>
      <c s="8" r="F1101"/>
      <c s="8" r="G1101"/>
      <c s="8" r="H1101"/>
      <c s="8" r="I1101"/>
      <c s="8" r="J1101"/>
      <c s="8" r="K1101"/>
      <c s="8" r="L1101"/>
      <c s="8" r="M1101"/>
      <c s="8" r="N1101"/>
      <c s="8" r="O1101"/>
      <c s="8" r="P1101"/>
      <c s="8" r="Q1101"/>
      <c s="8" r="R1101"/>
      <c s="8" r="S1101"/>
      <c s="8" r="T1101"/>
      <c s="8" r="U1101"/>
      <c s="8" r="V1101"/>
      <c s="8" r="W1101"/>
      <c s="8" r="X1101"/>
      <c s="8" r="Y1101"/>
      <c s="8" r="Z1101"/>
      <c s="8" r="AA1101"/>
    </row>
    <row r="1102">
      <c s="8" r="A1102"/>
      <c s="8" r="B1102"/>
      <c s="8" r="C1102"/>
      <c s="8" r="D1102"/>
      <c s="8" r="E1102"/>
      <c s="8" r="F1102"/>
      <c s="8" r="G1102"/>
      <c s="8" r="H1102"/>
      <c s="8" r="I1102"/>
      <c s="8" r="J1102"/>
      <c s="8" r="K1102"/>
      <c s="8" r="L1102"/>
      <c s="8" r="M1102"/>
      <c s="8" r="N1102"/>
      <c s="8" r="O1102"/>
      <c s="8" r="P1102"/>
      <c s="8" r="Q1102"/>
      <c s="8" r="R1102"/>
      <c s="8" r="S1102"/>
      <c s="8" r="T1102"/>
      <c s="8" r="U1102"/>
      <c s="8" r="V1102"/>
      <c s="8" r="W1102"/>
      <c s="8" r="X1102"/>
      <c s="8" r="Y1102"/>
      <c s="8" r="Z1102"/>
      <c s="8" r="AA1102"/>
    </row>
    <row r="1103">
      <c s="8" r="A1103"/>
      <c s="8" r="B1103"/>
      <c s="8" r="C1103"/>
      <c s="8" r="D1103"/>
      <c s="8" r="E1103"/>
      <c s="8" r="F1103"/>
      <c s="8" r="G1103"/>
      <c s="8" r="H1103"/>
      <c s="8" r="I1103"/>
      <c s="8" r="J1103"/>
      <c s="8" r="K1103"/>
      <c s="8" r="L1103"/>
      <c s="8" r="M1103"/>
      <c s="8" r="N1103"/>
      <c s="8" r="O1103"/>
      <c s="8" r="P1103"/>
      <c s="8" r="Q1103"/>
      <c s="8" r="R1103"/>
      <c s="8" r="S1103"/>
      <c s="8" r="T1103"/>
      <c s="8" r="U1103"/>
      <c s="8" r="V1103"/>
      <c s="8" r="W1103"/>
      <c s="8" r="X1103"/>
      <c s="8" r="Y1103"/>
      <c s="8" r="Z1103"/>
      <c s="8" r="AA1103"/>
    </row>
    <row r="1104">
      <c s="8" r="A1104"/>
      <c s="8" r="B1104"/>
      <c s="8" r="C1104"/>
      <c s="8" r="D1104"/>
      <c s="8" r="E1104"/>
      <c s="8" r="F1104"/>
      <c s="8" r="G1104"/>
      <c s="8" r="H1104"/>
      <c s="8" r="I1104"/>
      <c s="8" r="J1104"/>
      <c s="8" r="K1104"/>
      <c s="8" r="L1104"/>
      <c s="8" r="M1104"/>
      <c s="8" r="N1104"/>
      <c s="8" r="O1104"/>
      <c s="8" r="P1104"/>
      <c s="8" r="Q1104"/>
      <c s="8" r="R1104"/>
      <c s="8" r="S1104"/>
      <c s="8" r="T1104"/>
      <c s="8" r="U1104"/>
      <c s="8" r="V1104"/>
      <c s="8" r="W1104"/>
      <c s="8" r="X1104"/>
      <c s="8" r="Y1104"/>
      <c s="8" r="Z1104"/>
      <c s="8" r="AA1104"/>
    </row>
    <row r="1105">
      <c s="8" r="A1105"/>
      <c s="8" r="B1105"/>
      <c s="8" r="C1105"/>
      <c s="8" r="D1105"/>
      <c s="8" r="E1105"/>
      <c s="8" r="F1105"/>
      <c s="8" r="G1105"/>
      <c s="8" r="H1105"/>
      <c s="8" r="I1105"/>
      <c s="8" r="J1105"/>
      <c s="8" r="K1105"/>
      <c s="8" r="L1105"/>
      <c s="8" r="M1105"/>
      <c s="8" r="N1105"/>
      <c s="8" r="O1105"/>
      <c s="8" r="P1105"/>
      <c s="8" r="Q1105"/>
      <c s="8" r="R1105"/>
      <c s="8" r="S1105"/>
      <c s="8" r="T1105"/>
      <c s="8" r="U1105"/>
      <c s="8" r="V1105"/>
      <c s="8" r="W1105"/>
      <c s="8" r="X1105"/>
      <c s="8" r="Y1105"/>
      <c s="8" r="Z1105"/>
      <c s="8" r="AA1105"/>
    </row>
    <row r="1106">
      <c s="8" r="A1106"/>
      <c s="8" r="B1106"/>
      <c s="8" r="C1106"/>
      <c s="8" r="D1106"/>
      <c s="8" r="E1106"/>
      <c s="8" r="F1106"/>
      <c s="8" r="G1106"/>
      <c s="8" r="H1106"/>
      <c s="8" r="I1106"/>
      <c s="8" r="J1106"/>
      <c s="8" r="K1106"/>
      <c s="8" r="L1106"/>
      <c s="8" r="M1106"/>
      <c s="8" r="N1106"/>
      <c s="8" r="O1106"/>
      <c s="8" r="P1106"/>
      <c s="8" r="Q1106"/>
      <c s="8" r="R1106"/>
      <c s="8" r="S1106"/>
      <c s="8" r="T1106"/>
      <c s="8" r="U1106"/>
      <c s="8" r="V1106"/>
      <c s="8" r="W1106"/>
      <c s="8" r="X1106"/>
      <c s="8" r="Y1106"/>
      <c s="8" r="Z1106"/>
      <c s="8" r="AA1106"/>
    </row>
    <row r="1107">
      <c s="8" r="A1107"/>
      <c s="8" r="B1107"/>
      <c s="8" r="C1107"/>
      <c s="8" r="D1107"/>
      <c s="8" r="E1107"/>
      <c s="8" r="F1107"/>
      <c s="8" r="G1107"/>
      <c s="8" r="H1107"/>
      <c s="8" r="I1107"/>
      <c s="8" r="J1107"/>
      <c s="8" r="K1107"/>
      <c s="8" r="L1107"/>
      <c s="8" r="M1107"/>
      <c s="8" r="N1107"/>
      <c s="8" r="O1107"/>
      <c s="8" r="P1107"/>
      <c s="8" r="Q1107"/>
      <c s="8" r="R1107"/>
      <c s="8" r="S1107"/>
      <c s="8" r="T1107"/>
      <c s="8" r="U1107"/>
      <c s="8" r="V1107"/>
      <c s="8" r="W1107"/>
      <c s="8" r="X1107"/>
      <c s="8" r="Y1107"/>
      <c s="8" r="Z1107"/>
      <c s="8" r="AA1107"/>
    </row>
    <row r="1108">
      <c s="8" r="A1108"/>
      <c s="8" r="B1108"/>
      <c s="8" r="C1108"/>
      <c s="8" r="D1108"/>
      <c s="8" r="E1108"/>
      <c s="8" r="F1108"/>
      <c s="8" r="G1108"/>
      <c s="8" r="H1108"/>
      <c s="8" r="I1108"/>
      <c s="8" r="J1108"/>
      <c s="8" r="K1108"/>
      <c s="8" r="L1108"/>
      <c s="8" r="M1108"/>
      <c s="8" r="N1108"/>
      <c s="8" r="O1108"/>
      <c s="8" r="P1108"/>
      <c s="8" r="Q1108"/>
      <c s="8" r="R1108"/>
      <c s="8" r="S1108"/>
      <c s="8" r="T1108"/>
      <c s="8" r="U1108"/>
      <c s="8" r="V1108"/>
      <c s="8" r="W1108"/>
      <c s="8" r="X1108"/>
      <c s="8" r="Y1108"/>
      <c s="8" r="Z1108"/>
      <c s="8" r="AA1108"/>
    </row>
    <row r="1109">
      <c s="8" r="A1109"/>
      <c s="8" r="B1109"/>
      <c s="8" r="C1109"/>
      <c s="8" r="D1109"/>
      <c s="8" r="E1109"/>
      <c s="8" r="F1109"/>
      <c s="8" r="G1109"/>
      <c s="8" r="H1109"/>
      <c s="8" r="I1109"/>
      <c s="8" r="J1109"/>
      <c s="8" r="K1109"/>
      <c s="8" r="L1109"/>
      <c s="8" r="M1109"/>
      <c s="8" r="N1109"/>
      <c s="8" r="O1109"/>
      <c s="8" r="P1109"/>
      <c s="8" r="Q1109"/>
      <c s="8" r="R1109"/>
      <c s="8" r="S1109"/>
      <c s="8" r="T1109"/>
      <c s="8" r="U1109"/>
      <c s="8" r="V1109"/>
      <c s="8" r="W1109"/>
      <c s="8" r="X1109"/>
      <c s="8" r="Y1109"/>
      <c s="8" r="Z1109"/>
      <c s="8" r="AA1109"/>
    </row>
    <row r="1110">
      <c s="8" r="A1110"/>
      <c s="8" r="B1110"/>
      <c s="8" r="C1110"/>
      <c s="8" r="D1110"/>
      <c s="8" r="E1110"/>
      <c s="8" r="F1110"/>
      <c s="8" r="G1110"/>
      <c s="8" r="H1110"/>
      <c s="8" r="I1110"/>
      <c s="8" r="J1110"/>
      <c s="8" r="K1110"/>
      <c s="8" r="L1110"/>
      <c s="8" r="M1110"/>
      <c s="8" r="N1110"/>
      <c s="8" r="O1110"/>
      <c s="8" r="P1110"/>
      <c s="8" r="Q1110"/>
      <c s="8" r="R1110"/>
      <c s="8" r="S1110"/>
      <c s="8" r="T1110"/>
      <c s="8" r="U1110"/>
      <c s="8" r="V1110"/>
      <c s="8" r="W1110"/>
      <c s="8" r="X1110"/>
      <c s="8" r="Y1110"/>
      <c s="8" r="Z1110"/>
      <c s="8" r="AA1110"/>
    </row>
    <row r="1111">
      <c s="8" r="A1111"/>
      <c s="8" r="B1111"/>
      <c s="8" r="C1111"/>
      <c s="8" r="D1111"/>
      <c s="8" r="E1111"/>
      <c s="8" r="F1111"/>
      <c s="8" r="G1111"/>
      <c s="8" r="H1111"/>
      <c s="8" r="I1111"/>
      <c s="8" r="J1111"/>
      <c s="8" r="K1111"/>
      <c s="8" r="L1111"/>
      <c s="8" r="M1111"/>
      <c s="8" r="N1111"/>
      <c s="8" r="O1111"/>
      <c s="8" r="P1111"/>
      <c s="8" r="Q1111"/>
      <c s="8" r="R1111"/>
      <c s="8" r="S1111"/>
      <c s="8" r="T1111"/>
      <c s="8" r="U1111"/>
      <c s="8" r="V1111"/>
      <c s="8" r="W1111"/>
      <c s="8" r="X1111"/>
      <c s="8" r="Y1111"/>
      <c s="8" r="Z1111"/>
      <c s="8" r="AA1111"/>
    </row>
    <row r="1112">
      <c s="8" r="A1112"/>
      <c s="8" r="B1112"/>
      <c s="8" r="C1112"/>
      <c s="8" r="D1112"/>
      <c s="8" r="E1112"/>
      <c s="8" r="F1112"/>
      <c s="8" r="G1112"/>
      <c s="8" r="H1112"/>
      <c s="8" r="I1112"/>
      <c s="8" r="J1112"/>
      <c s="8" r="K1112"/>
      <c s="8" r="L1112"/>
      <c s="8" r="M1112"/>
      <c s="8" r="N1112"/>
      <c s="8" r="O1112"/>
      <c s="8" r="P1112"/>
      <c s="8" r="Q1112"/>
      <c s="8" r="R1112"/>
      <c s="8" r="S1112"/>
      <c s="8" r="T1112"/>
      <c s="8" r="U1112"/>
      <c s="8" r="V1112"/>
      <c s="8" r="W1112"/>
      <c s="8" r="X1112"/>
      <c s="8" r="Y1112"/>
      <c s="8" r="Z1112"/>
      <c s="8" r="AA1112"/>
    </row>
    <row r="1113">
      <c s="8" r="A1113"/>
      <c s="8" r="B1113"/>
      <c s="8" r="C1113"/>
      <c s="8" r="D1113"/>
      <c s="8" r="E1113"/>
      <c s="8" r="F1113"/>
      <c s="8" r="G1113"/>
      <c s="8" r="H1113"/>
      <c s="8" r="I1113"/>
      <c s="8" r="J1113"/>
      <c s="8" r="K1113"/>
      <c s="8" r="L1113"/>
      <c s="8" r="M1113"/>
      <c s="8" r="N1113"/>
      <c s="8" r="O1113"/>
      <c s="8" r="P1113"/>
      <c s="8" r="Q1113"/>
      <c s="8" r="R1113"/>
      <c s="8" r="S1113"/>
      <c s="8" r="T1113"/>
      <c s="8" r="U1113"/>
      <c s="8" r="V1113"/>
      <c s="8" r="W1113"/>
      <c s="8" r="X1113"/>
      <c s="8" r="Y1113"/>
      <c s="8" r="Z1113"/>
      <c s="8" r="AA1113"/>
    </row>
    <row r="1114">
      <c s="8" r="A1114"/>
      <c s="8" r="B1114"/>
      <c s="8" r="C1114"/>
      <c s="8" r="D1114"/>
      <c s="8" r="E1114"/>
      <c s="8" r="F1114"/>
      <c s="8" r="G1114"/>
      <c s="8" r="H1114"/>
      <c s="8" r="I1114"/>
      <c s="8" r="J1114"/>
      <c s="8" r="K1114"/>
      <c s="8" r="L1114"/>
      <c s="8" r="M1114"/>
      <c s="8" r="N1114"/>
      <c s="8" r="O1114"/>
      <c s="8" r="P1114"/>
      <c s="8" r="Q1114"/>
      <c s="8" r="R1114"/>
      <c s="8" r="S1114"/>
      <c s="8" r="T1114"/>
      <c s="8" r="U1114"/>
      <c s="8" r="V1114"/>
      <c s="8" r="W1114"/>
      <c s="8" r="X1114"/>
      <c s="8" r="Y1114"/>
      <c s="8" r="Z1114"/>
      <c s="8" r="AA1114"/>
    </row>
    <row r="1115">
      <c s="8" r="A1115"/>
      <c s="8" r="B1115"/>
      <c s="8" r="C1115"/>
      <c s="8" r="D1115"/>
      <c s="8" r="E1115"/>
      <c s="8" r="F1115"/>
      <c s="8" r="G1115"/>
      <c s="8" r="H1115"/>
      <c s="8" r="I1115"/>
      <c s="8" r="J1115"/>
      <c s="8" r="K1115"/>
      <c s="8" r="L1115"/>
      <c s="8" r="M1115"/>
      <c s="8" r="N1115"/>
      <c s="8" r="O1115"/>
      <c s="8" r="P1115"/>
      <c s="8" r="Q1115"/>
      <c s="8" r="R1115"/>
      <c s="8" r="S1115"/>
      <c s="8" r="T1115"/>
      <c s="8" r="U1115"/>
      <c s="8" r="V1115"/>
      <c s="8" r="W1115"/>
      <c s="8" r="X1115"/>
      <c s="8" r="Y1115"/>
      <c s="8" r="Z1115"/>
      <c s="8" r="AA1115"/>
    </row>
    <row r="1116">
      <c s="8" r="A1116"/>
      <c s="8" r="B1116"/>
      <c s="8" r="C1116"/>
      <c s="8" r="D1116"/>
      <c s="8" r="E1116"/>
      <c s="8" r="F1116"/>
      <c s="8" r="G1116"/>
      <c s="8" r="H1116"/>
      <c s="8" r="I1116"/>
      <c s="8" r="J1116"/>
      <c s="8" r="K1116"/>
      <c s="8" r="L1116"/>
      <c s="8" r="M1116"/>
      <c s="8" r="N1116"/>
      <c s="8" r="O1116"/>
      <c s="8" r="P1116"/>
      <c s="8" r="Q1116"/>
      <c s="8" r="R1116"/>
      <c s="8" r="S1116"/>
      <c s="8" r="T1116"/>
      <c s="8" r="U1116"/>
      <c s="8" r="V1116"/>
      <c s="8" r="W1116"/>
      <c s="8" r="X1116"/>
      <c s="8" r="Y1116"/>
      <c s="8" r="Z1116"/>
      <c s="8" r="AA1116"/>
    </row>
    <row r="1117">
      <c s="8" r="A1117"/>
      <c s="8" r="B1117"/>
      <c s="8" r="C1117"/>
      <c s="8" r="D1117"/>
      <c s="8" r="E1117"/>
      <c s="8" r="F1117"/>
      <c s="8" r="G1117"/>
      <c s="8" r="H1117"/>
      <c s="8" r="I1117"/>
      <c s="8" r="J1117"/>
      <c s="8" r="K1117"/>
      <c s="8" r="L1117"/>
      <c s="8" r="M1117"/>
      <c s="8" r="N1117"/>
      <c s="8" r="O1117"/>
      <c s="8" r="P1117"/>
      <c s="8" r="Q1117"/>
      <c s="8" r="R1117"/>
      <c s="8" r="S1117"/>
      <c s="8" r="T1117"/>
      <c s="8" r="U1117"/>
      <c s="8" r="V1117"/>
      <c s="8" r="W1117"/>
      <c s="8" r="X1117"/>
      <c s="8" r="Y1117"/>
      <c s="8" r="Z1117"/>
      <c s="8" r="AA1117"/>
    </row>
    <row r="1118">
      <c s="8" r="A1118"/>
      <c s="8" r="B1118"/>
      <c s="8" r="C1118"/>
      <c s="8" r="D1118"/>
      <c s="8" r="E1118"/>
      <c s="8" r="F1118"/>
      <c s="8" r="G1118"/>
      <c s="8" r="H1118"/>
      <c s="8" r="I1118"/>
      <c s="8" r="J1118"/>
      <c s="8" r="K1118"/>
      <c s="8" r="L1118"/>
      <c s="8" r="M1118"/>
      <c s="8" r="N1118"/>
      <c s="8" r="O1118"/>
      <c s="8" r="P1118"/>
      <c s="8" r="Q1118"/>
      <c s="8" r="R1118"/>
      <c s="8" r="S1118"/>
      <c s="8" r="T1118"/>
      <c s="8" r="U1118"/>
      <c s="8" r="V1118"/>
      <c s="8" r="W1118"/>
      <c s="8" r="X1118"/>
      <c s="8" r="Y1118"/>
      <c s="8" r="Z1118"/>
      <c s="8" r="AA1118"/>
    </row>
    <row r="1119">
      <c s="8" r="A1119"/>
      <c s="8" r="B1119"/>
      <c s="8" r="C1119"/>
      <c s="8" r="D1119"/>
      <c s="8" r="E1119"/>
      <c s="8" r="F1119"/>
      <c s="8" r="G1119"/>
      <c s="8" r="H1119"/>
      <c s="8" r="I1119"/>
      <c s="8" r="J1119"/>
      <c s="8" r="K1119"/>
      <c s="8" r="L1119"/>
      <c s="8" r="M1119"/>
      <c s="8" r="N1119"/>
      <c s="8" r="O1119"/>
      <c s="8" r="P1119"/>
      <c s="8" r="Q1119"/>
      <c s="8" r="R1119"/>
      <c s="8" r="S1119"/>
      <c s="8" r="T1119"/>
      <c s="8" r="U1119"/>
      <c s="8" r="V1119"/>
      <c s="8" r="W1119"/>
      <c s="8" r="X1119"/>
      <c s="8" r="Y1119"/>
      <c s="8" r="Z1119"/>
      <c s="8" r="AA1119"/>
    </row>
    <row r="1120">
      <c s="8" r="A1120"/>
      <c s="8" r="B1120"/>
      <c s="8" r="C1120"/>
      <c s="8" r="D1120"/>
      <c s="8" r="E1120"/>
      <c s="8" r="F1120"/>
      <c s="8" r="G1120"/>
      <c s="8" r="H1120"/>
      <c s="8" r="I1120"/>
      <c s="8" r="J1120"/>
      <c s="8" r="K1120"/>
      <c s="8" r="L1120"/>
      <c s="8" r="M1120"/>
      <c s="8" r="N1120"/>
      <c s="8" r="O1120"/>
      <c s="8" r="P1120"/>
      <c s="8" r="Q1120"/>
      <c s="8" r="R1120"/>
      <c s="8" r="S1120"/>
      <c s="8" r="T1120"/>
      <c s="8" r="U1120"/>
      <c s="8" r="V1120"/>
      <c s="8" r="W1120"/>
      <c s="8" r="X1120"/>
      <c s="8" r="Y1120"/>
      <c s="8" r="Z1120"/>
      <c s="8" r="AA1120"/>
    </row>
    <row r="1121">
      <c s="8" r="A1121"/>
      <c s="8" r="B1121"/>
      <c s="8" r="C1121"/>
      <c s="8" r="D1121"/>
      <c s="8" r="E1121"/>
      <c s="8" r="F1121"/>
      <c s="8" r="G1121"/>
      <c s="8" r="H1121"/>
      <c s="8" r="I1121"/>
      <c s="8" r="J1121"/>
      <c s="8" r="K1121"/>
      <c s="8" r="L1121"/>
      <c s="8" r="M1121"/>
      <c s="8" r="N1121"/>
      <c s="8" r="O1121"/>
      <c s="8" r="P1121"/>
      <c s="8" r="Q1121"/>
      <c s="8" r="R1121"/>
      <c s="8" r="S1121"/>
      <c s="8" r="T1121"/>
      <c s="8" r="U1121"/>
      <c s="8" r="V1121"/>
      <c s="8" r="W1121"/>
      <c s="8" r="X1121"/>
      <c s="8" r="Y1121"/>
      <c s="8" r="Z1121"/>
      <c s="8" r="AA1121"/>
    </row>
    <row r="1122">
      <c s="8" r="A1122"/>
      <c s="8" r="B1122"/>
      <c s="8" r="C1122"/>
      <c s="8" r="D1122"/>
      <c s="8" r="E1122"/>
      <c s="8" r="F1122"/>
      <c s="8" r="G1122"/>
      <c s="8" r="H1122"/>
      <c s="8" r="I1122"/>
      <c s="8" r="J1122"/>
      <c s="8" r="K1122"/>
      <c s="8" r="L1122"/>
      <c s="8" r="M1122"/>
      <c s="8" r="N1122"/>
      <c s="8" r="O1122"/>
      <c s="8" r="P1122"/>
      <c s="8" r="Q1122"/>
      <c s="8" r="R1122"/>
      <c s="8" r="S1122"/>
      <c s="8" r="T1122"/>
      <c s="8" r="U1122"/>
      <c s="8" r="V1122"/>
      <c s="8" r="W1122"/>
      <c s="8" r="X1122"/>
      <c s="8" r="Y1122"/>
      <c s="8" r="Z1122"/>
      <c s="8" r="AA1122"/>
    </row>
    <row r="1123">
      <c s="8" r="A1123"/>
      <c s="8" r="B1123"/>
      <c s="8" r="C1123"/>
      <c s="8" r="D1123"/>
      <c s="8" r="E1123"/>
      <c s="8" r="F1123"/>
      <c s="8" r="G1123"/>
      <c s="8" r="H1123"/>
      <c s="8" r="I1123"/>
      <c s="8" r="J1123"/>
      <c s="8" r="K1123"/>
      <c s="8" r="L1123"/>
      <c s="8" r="M1123"/>
      <c s="8" r="N1123"/>
      <c s="8" r="O1123"/>
      <c s="8" r="P1123"/>
      <c s="8" r="Q1123"/>
      <c s="8" r="R1123"/>
      <c s="8" r="S1123"/>
      <c s="8" r="T1123"/>
      <c s="8" r="U1123"/>
      <c s="8" r="V1123"/>
      <c s="8" r="W1123"/>
      <c s="8" r="X1123"/>
      <c s="8" r="Y1123"/>
      <c s="8" r="Z1123"/>
      <c s="8" r="AA1123"/>
    </row>
    <row r="1124">
      <c s="8" r="A1124"/>
      <c s="8" r="B1124"/>
      <c s="8" r="C1124"/>
      <c s="8" r="D1124"/>
      <c s="8" r="E1124"/>
      <c s="8" r="F1124"/>
      <c s="8" r="G1124"/>
      <c s="8" r="H1124"/>
      <c s="8" r="I1124"/>
      <c s="8" r="J1124"/>
      <c s="8" r="K1124"/>
      <c s="8" r="L1124"/>
      <c s="8" r="M1124"/>
      <c s="8" r="N1124"/>
      <c s="8" r="O1124"/>
      <c s="8" r="P1124"/>
      <c s="8" r="Q1124"/>
      <c s="8" r="R1124"/>
      <c s="8" r="S1124"/>
      <c s="8" r="T1124"/>
      <c s="8" r="U1124"/>
      <c s="8" r="V1124"/>
      <c s="8" r="W1124"/>
      <c s="8" r="X1124"/>
      <c s="8" r="Y1124"/>
      <c s="8" r="Z1124"/>
      <c s="8" r="AA1124"/>
    </row>
    <row r="1125">
      <c s="8" r="A1125"/>
      <c s="8" r="B1125"/>
      <c s="8" r="C1125"/>
      <c s="8" r="D1125"/>
      <c s="8" r="E1125"/>
      <c s="8" r="F1125"/>
      <c s="8" r="G1125"/>
      <c s="8" r="H1125"/>
      <c s="8" r="I1125"/>
      <c s="8" r="J1125"/>
      <c s="8" r="K1125"/>
      <c s="8" r="L1125"/>
      <c s="8" r="M1125"/>
      <c s="8" r="N1125"/>
      <c s="8" r="O1125"/>
      <c s="8" r="P1125"/>
      <c s="8" r="Q1125"/>
      <c s="8" r="R1125"/>
      <c s="8" r="S1125"/>
      <c s="8" r="T1125"/>
      <c s="8" r="U1125"/>
      <c s="8" r="V1125"/>
      <c s="8" r="W1125"/>
      <c s="8" r="X1125"/>
      <c s="8" r="Y1125"/>
      <c s="8" r="Z1125"/>
      <c s="8" r="AA1125"/>
    </row>
    <row r="1126">
      <c s="8" r="A1126"/>
      <c s="8" r="B1126"/>
      <c s="8" r="C1126"/>
      <c s="8" r="D1126"/>
      <c s="8" r="E1126"/>
      <c s="8" r="F1126"/>
      <c s="8" r="G1126"/>
      <c s="8" r="H1126"/>
      <c s="8" r="I1126"/>
      <c s="8" r="J1126"/>
      <c s="8" r="K1126"/>
      <c s="8" r="L1126"/>
      <c s="8" r="M1126"/>
      <c s="8" r="N1126"/>
      <c s="8" r="O1126"/>
      <c s="8" r="P1126"/>
      <c s="8" r="Q1126"/>
      <c s="8" r="R1126"/>
      <c s="8" r="S1126"/>
      <c s="8" r="T1126"/>
      <c s="8" r="U1126"/>
      <c s="8" r="V1126"/>
      <c s="8" r="W1126"/>
      <c s="8" r="X1126"/>
      <c s="8" r="Y1126"/>
      <c s="8" r="Z1126"/>
      <c s="8" r="AA1126"/>
    </row>
    <row r="1127">
      <c s="8" r="A1127"/>
      <c s="8" r="B1127"/>
      <c s="8" r="C1127"/>
      <c s="8" r="D1127"/>
      <c s="8" r="E1127"/>
      <c s="8" r="F1127"/>
      <c s="8" r="G1127"/>
      <c s="8" r="H1127"/>
      <c s="8" r="I1127"/>
      <c s="8" r="J1127"/>
      <c s="8" r="K1127"/>
      <c s="8" r="L1127"/>
      <c s="8" r="M1127"/>
      <c s="8" r="N1127"/>
      <c s="8" r="O1127"/>
      <c s="8" r="P1127"/>
      <c s="8" r="Q1127"/>
      <c s="8" r="R1127"/>
      <c s="8" r="S1127"/>
      <c s="8" r="T1127"/>
      <c s="8" r="U1127"/>
      <c s="8" r="V1127"/>
      <c s="8" r="W1127"/>
      <c s="8" r="X1127"/>
      <c s="8" r="Y1127"/>
      <c s="8" r="Z1127"/>
      <c s="8" r="AA1127"/>
    </row>
  </sheetData>
  <hyperlinks>
    <hyperlink ref="G1" r:id="rId1"/>
    <hyperlink ref="E2" r:id="rId2"/>
    <hyperlink ref="F2" r:id="rId3"/>
    <hyperlink ref="E8" r:id="rId4"/>
    <hyperlink ref="F8" r:id="rId5"/>
    <hyperlink ref="E9" r:id="rId6"/>
    <hyperlink ref="E14" r:id="rId7"/>
    <hyperlink ref="E15" r:id="rId8"/>
    <hyperlink ref="F15" r:id="rId9"/>
    <hyperlink ref="E16" r:id="rId10"/>
    <hyperlink ref="F16" r:id="rId11"/>
    <hyperlink ref="E32" r:id="rId12"/>
    <hyperlink ref="F32" r:id="rId13"/>
    <hyperlink ref="E38" r:id="rId14"/>
    <hyperlink ref="F38" r:id="rId15"/>
    <hyperlink ref="E40" r:id="rId16"/>
    <hyperlink ref="F40" r:id="rId17"/>
    <hyperlink ref="E41" r:id="rId18"/>
    <hyperlink ref="F41" r:id="rId19"/>
    <hyperlink ref="E42" r:id="rId20"/>
    <hyperlink ref="E50" r:id="rId21"/>
    <hyperlink ref="F50" r:id="rId22"/>
    <hyperlink ref="E52" r:id="rId23"/>
    <hyperlink ref="F52" r:id="rId24"/>
    <hyperlink ref="E57" r:id="rId25"/>
    <hyperlink ref="F57" r:id="rId26"/>
    <hyperlink ref="E62" r:id="rId27"/>
    <hyperlink ref="F62" r:id="rId28"/>
    <hyperlink ref="F66" r:id="rId29"/>
    <hyperlink ref="E70" r:id="rId30"/>
    <hyperlink ref="F70" r:id="rId31"/>
    <hyperlink ref="E72" r:id="rId32"/>
    <hyperlink ref="E78" r:id="rId33"/>
    <hyperlink ref="F78" r:id="rId34"/>
    <hyperlink ref="E79" r:id="rId35"/>
    <hyperlink ref="E81" r:id="rId36"/>
    <hyperlink ref="F81" r:id="rId37"/>
    <hyperlink ref="E98" r:id="rId38"/>
    <hyperlink ref="F98" r:id="rId39"/>
    <hyperlink ref="E103" r:id="rId40"/>
    <hyperlink ref="F103" r:id="rId41"/>
    <hyperlink ref="E104" r:id="rId42"/>
    <hyperlink ref="F104" r:id="rId43"/>
    <hyperlink ref="E106" r:id="rId44"/>
    <hyperlink ref="F106" r:id="rId45"/>
    <hyperlink ref="E108" r:id="rId46"/>
    <hyperlink ref="F108" r:id="rId47"/>
    <hyperlink ref="E110" r:id="rId48"/>
    <hyperlink ref="F110" r:id="rId49"/>
    <hyperlink ref="F113" r:id="rId50"/>
    <hyperlink ref="E114" r:id="rId51"/>
    <hyperlink ref="F114" r:id="rId52"/>
    <hyperlink ref="E117" r:id="rId53"/>
    <hyperlink ref="F117" r:id="rId54"/>
    <hyperlink ref="E121" r:id="rId55"/>
    <hyperlink ref="F121" r:id="rId56"/>
    <hyperlink ref="E122" r:id="rId57"/>
    <hyperlink ref="E123" r:id="rId58"/>
    <hyperlink ref="F123" r:id="rId59"/>
    <hyperlink ref="F124" r:id="rId60"/>
    <hyperlink ref="E132" r:id="rId61"/>
    <hyperlink ref="F132" r:id="rId62"/>
    <hyperlink ref="E136" r:id="rId63"/>
    <hyperlink ref="F136" r:id="rId64"/>
    <hyperlink ref="E137" r:id="rId65"/>
    <hyperlink ref="F137" r:id="rId66"/>
    <hyperlink ref="E139" r:id="rId67"/>
    <hyperlink ref="F139" r:id="rId68"/>
    <hyperlink ref="E141" r:id="rId69"/>
    <hyperlink ref="F141" r:id="rId70"/>
    <hyperlink ref="E143" r:id="rId71"/>
    <hyperlink ref="F143" r:id="rId72"/>
    <hyperlink ref="E144" r:id="rId73"/>
    <hyperlink ref="F144" r:id="rId74"/>
    <hyperlink ref="E148" r:id="rId75"/>
    <hyperlink ref="F148" r:id="rId76"/>
    <hyperlink ref="E150" r:id="rId77"/>
    <hyperlink ref="F150" r:id="rId78"/>
    <hyperlink ref="F157" r:id="rId79"/>
    <hyperlink ref="E158" r:id="rId80"/>
    <hyperlink ref="F158" r:id="rId81"/>
    <hyperlink ref="E162" r:id="rId82"/>
    <hyperlink ref="E168" r:id="rId83"/>
    <hyperlink ref="F168" r:id="rId84"/>
    <hyperlink ref="E172" r:id="rId85"/>
    <hyperlink ref="F172" r:id="rId86"/>
    <hyperlink ref="E184" r:id="rId87"/>
    <hyperlink ref="F184" r:id="rId88"/>
    <hyperlink ref="E191" r:id="rId89"/>
    <hyperlink ref="F191" r:id="rId90"/>
    <hyperlink ref="E194" r:id="rId91"/>
    <hyperlink ref="F194" r:id="rId92"/>
    <hyperlink ref="E195" r:id="rId93"/>
    <hyperlink ref="F195" r:id="rId94"/>
    <hyperlink ref="E211" r:id="rId95"/>
    <hyperlink ref="F211" r:id="rId96"/>
    <hyperlink ref="E217" r:id="rId97"/>
    <hyperlink ref="F217" r:id="rId98"/>
    <hyperlink ref="E218" r:id="rId99"/>
    <hyperlink ref="E223" r:id="rId100"/>
    <hyperlink ref="F223" r:id="rId101"/>
    <hyperlink ref="E226" r:id="rId102"/>
    <hyperlink ref="F226" r:id="rId103"/>
    <hyperlink ref="E232" r:id="rId104"/>
    <hyperlink ref="F232" r:id="rId105"/>
    <hyperlink ref="E234" r:id="rId106"/>
    <hyperlink ref="F234" r:id="rId107"/>
    <hyperlink ref="E236" r:id="rId108"/>
    <hyperlink ref="E238" r:id="rId109"/>
    <hyperlink ref="F238" r:id="rId110"/>
    <hyperlink ref="E240" r:id="rId111"/>
    <hyperlink ref="F240" r:id="rId112"/>
    <hyperlink ref="E243" r:id="rId113"/>
    <hyperlink ref="E250" r:id="rId114"/>
    <hyperlink ref="F250" r:id="rId115"/>
    <hyperlink ref="E258" r:id="rId116"/>
    <hyperlink ref="F258" r:id="rId117"/>
    <hyperlink ref="E260" r:id="rId118"/>
    <hyperlink ref="E264" r:id="rId119"/>
    <hyperlink ref="F264" r:id="rId120"/>
    <hyperlink ref="E269" r:id="rId121"/>
    <hyperlink ref="F269" r:id="rId122"/>
    <hyperlink ref="E272" r:id="rId123"/>
    <hyperlink ref="F272" r:id="rId124"/>
    <hyperlink ref="E274" r:id="rId125"/>
    <hyperlink ref="F274" r:id="rId126"/>
    <hyperlink ref="F275" r:id="rId127"/>
    <hyperlink ref="E278" r:id="rId128"/>
    <hyperlink ref="F278" r:id="rId129"/>
    <hyperlink ref="E292" r:id="rId130"/>
    <hyperlink ref="F292" r:id="rId131"/>
    <hyperlink ref="E293" r:id="rId132"/>
    <hyperlink ref="E297" r:id="rId133"/>
    <hyperlink ref="F297" r:id="rId134"/>
    <hyperlink ref="E312" r:id="rId135"/>
    <hyperlink ref="F312" r:id="rId136"/>
    <hyperlink ref="E317" r:id="rId137"/>
    <hyperlink ref="F317" r:id="rId138"/>
    <hyperlink ref="E318" r:id="rId139"/>
    <hyperlink ref="F318" r:id="rId140"/>
    <hyperlink ref="E320" r:id="rId141"/>
    <hyperlink ref="F320" r:id="rId142"/>
    <hyperlink ref="E327" r:id="rId143"/>
    <hyperlink ref="F327" r:id="rId144"/>
    <hyperlink ref="E329" r:id="rId145"/>
    <hyperlink ref="F329" r:id="rId146"/>
    <hyperlink ref="E331" r:id="rId147"/>
    <hyperlink ref="F331" r:id="rId148"/>
    <hyperlink ref="F334" r:id="rId149"/>
    <hyperlink ref="E337" r:id="rId150"/>
    <hyperlink ref="E339" r:id="rId151"/>
    <hyperlink ref="F339" r:id="rId152"/>
    <hyperlink ref="E340" r:id="rId153"/>
    <hyperlink ref="F340" r:id="rId154"/>
    <hyperlink ref="E347" r:id="rId155"/>
    <hyperlink ref="E348" r:id="rId156"/>
    <hyperlink ref="F348" r:id="rId157"/>
    <hyperlink ref="E349" r:id="rId158"/>
    <hyperlink ref="F349" r:id="rId159"/>
    <hyperlink ref="E353" r:id="rId160"/>
    <hyperlink ref="F353" r:id="rId161"/>
    <hyperlink ref="E354" r:id="rId162"/>
    <hyperlink ref="F354" r:id="rId163"/>
    <hyperlink ref="E355" r:id="rId164"/>
    <hyperlink ref="F355" r:id="rId165"/>
    <hyperlink ref="E356" r:id="rId166"/>
    <hyperlink ref="F356" r:id="rId167"/>
    <hyperlink ref="E357" r:id="rId168"/>
    <hyperlink ref="F357" r:id="rId169"/>
    <hyperlink ref="E363" r:id="rId170"/>
    <hyperlink ref="F363" r:id="rId171"/>
    <hyperlink ref="E364" r:id="rId172"/>
    <hyperlink ref="F364" r:id="rId173"/>
    <hyperlink ref="E367" r:id="rId174"/>
    <hyperlink ref="F367" r:id="rId175"/>
    <hyperlink ref="F369" r:id="rId176"/>
    <hyperlink ref="F370" r:id="rId177"/>
    <hyperlink ref="E378" r:id="rId178"/>
    <hyperlink ref="F378" r:id="rId179"/>
    <hyperlink ref="E381" r:id="rId180"/>
    <hyperlink ref="F381" r:id="rId181"/>
    <hyperlink ref="E383" r:id="rId182"/>
    <hyperlink ref="F383" r:id="rId183"/>
    <hyperlink ref="F389" r:id="rId184"/>
    <hyperlink ref="E398" r:id="rId185"/>
    <hyperlink ref="E401" r:id="rId186"/>
    <hyperlink ref="F401" r:id="rId187"/>
    <hyperlink ref="E403" r:id="rId188"/>
    <hyperlink ref="E412" r:id="rId189"/>
    <hyperlink ref="F412" r:id="rId190"/>
    <hyperlink ref="F413" r:id="rId191"/>
    <hyperlink ref="E414" r:id="rId192"/>
    <hyperlink ref="F414" r:id="rId193"/>
    <hyperlink ref="F415" r:id="rId194"/>
    <hyperlink ref="F419" r:id="rId195"/>
    <hyperlink ref="E428" r:id="rId196"/>
    <hyperlink ref="F428" r:id="rId197"/>
    <hyperlink ref="E429" r:id="rId198"/>
    <hyperlink ref="F429" r:id="rId199"/>
    <hyperlink ref="E442" r:id="rId200"/>
    <hyperlink ref="F442" r:id="rId201"/>
    <hyperlink ref="E444" r:id="rId202"/>
    <hyperlink ref="F444" r:id="rId203"/>
    <hyperlink ref="E445" r:id="rId204"/>
    <hyperlink ref="F445" r:id="rId205"/>
    <hyperlink ref="E448" r:id="rId206"/>
    <hyperlink ref="F448" r:id="rId207"/>
    <hyperlink ref="F456" r:id="rId208"/>
    <hyperlink ref="E460" r:id="rId209"/>
    <hyperlink ref="F460" r:id="rId210"/>
    <hyperlink ref="E468" r:id="rId211"/>
    <hyperlink ref="F468" r:id="rId212"/>
    <hyperlink ref="E473" r:id="rId213"/>
    <hyperlink ref="F473" r:id="rId214"/>
    <hyperlink ref="E479" r:id="rId215"/>
    <hyperlink ref="E483" r:id="rId216"/>
    <hyperlink ref="F483" r:id="rId217"/>
    <hyperlink ref="E486" r:id="rId218"/>
    <hyperlink ref="F486" r:id="rId219"/>
    <hyperlink ref="E487" r:id="rId220"/>
    <hyperlink ref="F487" r:id="rId221"/>
    <hyperlink ref="F490" r:id="rId222"/>
    <hyperlink ref="E494" r:id="rId223"/>
    <hyperlink ref="F494" r:id="rId224"/>
    <hyperlink ref="E495" r:id="rId225"/>
    <hyperlink ref="F495" r:id="rId226"/>
    <hyperlink ref="E497" r:id="rId227"/>
    <hyperlink ref="F497" r:id="rId228"/>
    <hyperlink ref="E505" r:id="rId229"/>
    <hyperlink ref="F505" r:id="rId230"/>
    <hyperlink ref="E511" r:id="rId231"/>
    <hyperlink ref="F511" r:id="rId232"/>
    <hyperlink ref="F514" r:id="rId233"/>
    <hyperlink ref="E519" r:id="rId234"/>
    <hyperlink ref="F519" r:id="rId235"/>
    <hyperlink ref="F530" r:id="rId236"/>
    <hyperlink ref="E531" r:id="rId237"/>
    <hyperlink ref="F531" r:id="rId238"/>
    <hyperlink ref="E532" r:id="rId239"/>
    <hyperlink ref="F532" r:id="rId240"/>
    <hyperlink ref="E539" r:id="rId241"/>
    <hyperlink ref="F539" r:id="rId242"/>
    <hyperlink ref="E540" r:id="rId243"/>
    <hyperlink ref="F540" r:id="rId244"/>
    <hyperlink ref="E541" r:id="rId245"/>
    <hyperlink ref="E542" r:id="rId246"/>
    <hyperlink ref="F542" r:id="rId247"/>
    <hyperlink ref="E544" r:id="rId248"/>
    <hyperlink ref="F544" r:id="rId249"/>
    <hyperlink ref="E551" r:id="rId250"/>
    <hyperlink ref="F551" r:id="rId251"/>
    <hyperlink ref="E553" r:id="rId252"/>
    <hyperlink ref="F553" r:id="rId253"/>
    <hyperlink ref="E556" r:id="rId254"/>
    <hyperlink ref="E558" r:id="rId255"/>
    <hyperlink ref="F558" r:id="rId256"/>
    <hyperlink ref="E563" r:id="rId257"/>
    <hyperlink ref="F563" r:id="rId258"/>
    <hyperlink ref="E566" r:id="rId259"/>
    <hyperlink ref="F566" r:id="rId260"/>
    <hyperlink ref="E569" r:id="rId261"/>
    <hyperlink ref="E572" r:id="rId262"/>
    <hyperlink ref="E573" r:id="rId263"/>
    <hyperlink ref="F573" r:id="rId264"/>
    <hyperlink ref="E575" r:id="rId265"/>
    <hyperlink ref="F575" r:id="rId266"/>
    <hyperlink ref="E581" r:id="rId267"/>
    <hyperlink ref="F581" r:id="rId268"/>
  </hyperlinks>
  <drawing r:id="rId269"/>
</worksheet>
</file>