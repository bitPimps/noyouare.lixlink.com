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s\Scott\noyouare.lixlink.com\"/>
    </mc:Choice>
  </mc:AlternateContent>
  <bookViews>
    <workbookView xWindow="0" yWindow="0" windowWidth="21570" windowHeight="95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581" i="1" l="1"/>
  <c r="E581" i="1"/>
  <c r="F575" i="1"/>
  <c r="E575" i="1"/>
  <c r="F573" i="1"/>
  <c r="E573" i="1"/>
  <c r="E572" i="1"/>
  <c r="E569" i="1"/>
  <c r="F566" i="1"/>
  <c r="E566" i="1"/>
  <c r="F563" i="1"/>
  <c r="E563" i="1"/>
  <c r="F558" i="1"/>
  <c r="E558" i="1"/>
  <c r="E556" i="1"/>
  <c r="F553" i="1"/>
  <c r="E553" i="1"/>
  <c r="F551" i="1"/>
  <c r="E551" i="1"/>
  <c r="F544" i="1"/>
  <c r="E544" i="1"/>
  <c r="F542" i="1"/>
  <c r="E542" i="1"/>
  <c r="E541" i="1"/>
  <c r="F540" i="1"/>
  <c r="E540" i="1"/>
  <c r="F539" i="1"/>
  <c r="E539" i="1"/>
  <c r="F532" i="1"/>
  <c r="E532" i="1"/>
  <c r="F531" i="1"/>
  <c r="E531" i="1"/>
  <c r="F530" i="1"/>
  <c r="F519" i="1"/>
  <c r="E519" i="1"/>
  <c r="F514" i="1"/>
  <c r="F511" i="1"/>
  <c r="E511" i="1"/>
  <c r="F505" i="1"/>
  <c r="E505" i="1"/>
  <c r="F497" i="1"/>
  <c r="E497" i="1"/>
  <c r="F495" i="1"/>
  <c r="E495" i="1"/>
  <c r="F494" i="1"/>
  <c r="E494" i="1"/>
  <c r="F490" i="1"/>
  <c r="F487" i="1"/>
  <c r="E487" i="1"/>
  <c r="F486" i="1"/>
  <c r="E486" i="1"/>
  <c r="F483" i="1"/>
  <c r="E483" i="1"/>
  <c r="E479" i="1"/>
  <c r="F473" i="1"/>
  <c r="E473" i="1"/>
  <c r="F468" i="1"/>
  <c r="E468" i="1"/>
  <c r="F460" i="1"/>
  <c r="E460" i="1"/>
  <c r="F456" i="1"/>
  <c r="F448" i="1"/>
  <c r="E448" i="1"/>
  <c r="F445" i="1"/>
  <c r="E445" i="1"/>
  <c r="F444" i="1"/>
  <c r="E444" i="1"/>
  <c r="F442" i="1"/>
  <c r="E442" i="1"/>
  <c r="F429" i="1"/>
  <c r="E429" i="1"/>
  <c r="F428" i="1"/>
  <c r="E428" i="1"/>
  <c r="F419" i="1"/>
  <c r="F415" i="1"/>
  <c r="F414" i="1"/>
  <c r="E414" i="1"/>
  <c r="F413" i="1"/>
  <c r="F412" i="1"/>
  <c r="E412" i="1"/>
  <c r="E403" i="1"/>
  <c r="F401" i="1"/>
  <c r="E401" i="1"/>
  <c r="E398" i="1"/>
  <c r="F389" i="1"/>
  <c r="F383" i="1"/>
  <c r="E383" i="1"/>
  <c r="F381" i="1"/>
  <c r="E381" i="1"/>
  <c r="F378" i="1"/>
  <c r="E378" i="1"/>
  <c r="F370" i="1"/>
  <c r="F369" i="1"/>
  <c r="F367" i="1"/>
  <c r="E367" i="1"/>
  <c r="F364" i="1"/>
  <c r="E364" i="1"/>
  <c r="F363" i="1"/>
  <c r="E363" i="1"/>
  <c r="F357" i="1"/>
  <c r="E357" i="1"/>
  <c r="F356" i="1"/>
  <c r="E356" i="1"/>
  <c r="F355" i="1"/>
  <c r="E355" i="1"/>
  <c r="F354" i="1"/>
  <c r="E354" i="1"/>
  <c r="F353" i="1"/>
  <c r="E353" i="1"/>
  <c r="F349" i="1"/>
  <c r="E349" i="1"/>
  <c r="F348" i="1"/>
  <c r="E348" i="1"/>
  <c r="E347" i="1"/>
  <c r="F340" i="1"/>
  <c r="E340" i="1"/>
  <c r="F339" i="1"/>
  <c r="E339" i="1"/>
  <c r="E337" i="1"/>
  <c r="F334" i="1"/>
  <c r="F331" i="1"/>
  <c r="E331" i="1"/>
  <c r="F329" i="1"/>
  <c r="E329" i="1"/>
  <c r="F327" i="1"/>
  <c r="E327" i="1"/>
  <c r="F320" i="1"/>
  <c r="E320" i="1"/>
  <c r="F318" i="1"/>
  <c r="E318" i="1"/>
  <c r="F317" i="1"/>
  <c r="E317" i="1"/>
  <c r="F312" i="1"/>
  <c r="E312" i="1"/>
  <c r="F297" i="1"/>
  <c r="E297" i="1"/>
  <c r="E293" i="1"/>
  <c r="F292" i="1"/>
  <c r="E292" i="1"/>
  <c r="F278" i="1"/>
  <c r="E278" i="1"/>
  <c r="F275" i="1"/>
  <c r="F274" i="1"/>
  <c r="E274" i="1"/>
  <c r="F272" i="1"/>
  <c r="E272" i="1"/>
  <c r="F269" i="1"/>
  <c r="E269" i="1"/>
  <c r="F264" i="1"/>
  <c r="E264" i="1"/>
  <c r="E260" i="1"/>
  <c r="F258" i="1"/>
  <c r="E258" i="1"/>
  <c r="F250" i="1"/>
  <c r="E250" i="1"/>
  <c r="E243" i="1"/>
  <c r="F240" i="1"/>
  <c r="E240" i="1"/>
  <c r="F238" i="1"/>
  <c r="E238" i="1"/>
  <c r="E236" i="1"/>
  <c r="F234" i="1"/>
  <c r="E234" i="1"/>
  <c r="F232" i="1"/>
  <c r="E232" i="1"/>
  <c r="F226" i="1"/>
  <c r="E226" i="1"/>
  <c r="F223" i="1"/>
  <c r="E223" i="1"/>
  <c r="E218" i="1"/>
  <c r="F217" i="1"/>
  <c r="E217" i="1"/>
  <c r="F211" i="1"/>
  <c r="E211" i="1"/>
  <c r="F195" i="1"/>
  <c r="E195" i="1"/>
  <c r="F194" i="1"/>
  <c r="E194" i="1"/>
  <c r="F191" i="1"/>
  <c r="E191" i="1"/>
  <c r="F184" i="1"/>
  <c r="E184" i="1"/>
  <c r="F172" i="1"/>
  <c r="E172" i="1"/>
  <c r="F168" i="1"/>
  <c r="E168" i="1"/>
  <c r="E162" i="1"/>
  <c r="F158" i="1"/>
  <c r="E158" i="1"/>
  <c r="F157" i="1"/>
  <c r="F150" i="1"/>
  <c r="E150" i="1"/>
  <c r="F148" i="1"/>
  <c r="E148" i="1"/>
  <c r="F144" i="1"/>
  <c r="E144" i="1"/>
  <c r="F143" i="1"/>
  <c r="E143" i="1"/>
  <c r="F141" i="1"/>
  <c r="E141" i="1"/>
  <c r="F139" i="1"/>
  <c r="E139" i="1"/>
  <c r="F137" i="1"/>
  <c r="E137" i="1"/>
  <c r="F136" i="1"/>
  <c r="E136" i="1"/>
  <c r="F132" i="1"/>
  <c r="E132" i="1"/>
  <c r="F124" i="1"/>
  <c r="F123" i="1"/>
  <c r="E123" i="1"/>
  <c r="E122" i="1"/>
  <c r="F121" i="1"/>
  <c r="E121" i="1"/>
  <c r="F117" i="1"/>
  <c r="E117" i="1"/>
  <c r="F114" i="1"/>
  <c r="E114" i="1"/>
  <c r="F113" i="1"/>
  <c r="F110" i="1"/>
  <c r="E110" i="1"/>
  <c r="F108" i="1"/>
  <c r="E108" i="1"/>
  <c r="F106" i="1"/>
  <c r="E106" i="1"/>
  <c r="F104" i="1"/>
  <c r="E104" i="1"/>
  <c r="F103" i="1"/>
  <c r="E103" i="1"/>
  <c r="F98" i="1"/>
  <c r="E98" i="1"/>
  <c r="F81" i="1"/>
  <c r="E81" i="1"/>
  <c r="E79" i="1"/>
  <c r="F78" i="1"/>
  <c r="E78" i="1"/>
  <c r="E72" i="1"/>
  <c r="F70" i="1"/>
  <c r="E70" i="1"/>
  <c r="F66" i="1"/>
  <c r="F62" i="1"/>
  <c r="E62" i="1"/>
  <c r="F57" i="1"/>
  <c r="E57" i="1"/>
  <c r="F52" i="1"/>
  <c r="E52" i="1"/>
  <c r="F50" i="1"/>
  <c r="E50" i="1"/>
  <c r="E42" i="1"/>
  <c r="F41" i="1"/>
  <c r="E41" i="1"/>
  <c r="F40" i="1"/>
  <c r="E40" i="1"/>
  <c r="F38" i="1"/>
  <c r="E38" i="1"/>
  <c r="F32" i="1"/>
  <c r="E32" i="1"/>
  <c r="F16" i="1"/>
  <c r="E16" i="1"/>
  <c r="F15" i="1"/>
  <c r="E15" i="1"/>
  <c r="E14" i="1"/>
  <c r="E9" i="1"/>
  <c r="G8" i="1"/>
  <c r="F8" i="1"/>
  <c r="E8" i="1"/>
  <c r="F2" i="1"/>
  <c r="E2" i="1"/>
  <c r="G1" i="1"/>
</calcChain>
</file>

<file path=xl/sharedStrings.xml><?xml version="1.0" encoding="utf-8"?>
<sst xmlns="http://schemas.openxmlformats.org/spreadsheetml/2006/main" count="2047" uniqueCount="2047">
  <si>
    <t>WolfKnives Name</t>
  </si>
  <si>
    <t>First Name</t>
  </si>
  <si>
    <t>Last Name</t>
  </si>
  <si>
    <t>State/Province</t>
  </si>
  <si>
    <t>Twitter</t>
  </si>
  <si>
    <t>Instagram</t>
  </si>
  <si>
    <t>Chapter Rank</t>
  </si>
  <si>
    <t>Accolades</t>
  </si>
  <si>
    <t>1% Cocksucker</t>
  </si>
  <si>
    <t>Eric</t>
  </si>
  <si>
    <t>Delaware</t>
  </si>
  <si>
    <t>President</t>
  </si>
  <si>
    <t>100% Fuck Off</t>
  </si>
  <si>
    <t>Joseph</t>
  </si>
  <si>
    <t>Allsup</t>
  </si>
  <si>
    <t>5 Hour Zehnergy</t>
  </si>
  <si>
    <t>David</t>
  </si>
  <si>
    <t>Zehner</t>
  </si>
  <si>
    <t>Aaron Farter</t>
  </si>
  <si>
    <t>Aaron</t>
  </si>
  <si>
    <t>Albin</t>
  </si>
  <si>
    <t>Abraham Cockroach</t>
  </si>
  <si>
    <t>Regan</t>
  </si>
  <si>
    <t>Bugg</t>
  </si>
  <si>
    <t>Ace Freedly / Guitar Junkie</t>
  </si>
  <si>
    <t>Aaron</t>
  </si>
  <si>
    <t>Friedley</t>
  </si>
  <si>
    <t>Alanis Morrishit</t>
  </si>
  <si>
    <t>Alain</t>
  </si>
  <si>
    <t>Venne</t>
  </si>
  <si>
    <t>Quebec</t>
  </si>
  <si>
    <t>Alcoholica</t>
  </si>
  <si>
    <t>Jason</t>
  </si>
  <si>
    <t>B</t>
  </si>
  <si>
    <t>Florida</t>
  </si>
  <si>
    <t>IrishMcFuckNugget</t>
  </si>
  <si>
    <t>Alexandra The Gape</t>
  </si>
  <si>
    <t>Alexandra</t>
  </si>
  <si>
    <t>Michael</t>
  </si>
  <si>
    <t>Alley McBeav</t>
  </si>
  <si>
    <t>Allison</t>
  </si>
  <si>
    <t>Schaffer</t>
  </si>
  <si>
    <t>Alligator Snatch</t>
  </si>
  <si>
    <t>Wade</t>
  </si>
  <si>
    <t>Lucas</t>
  </si>
  <si>
    <t>Anal Colony</t>
  </si>
  <si>
    <t>Colin</t>
  </si>
  <si>
    <t>Lengyell</t>
  </si>
  <si>
    <t>Anal Vacuum</t>
  </si>
  <si>
    <t>Trever</t>
  </si>
  <si>
    <t>S</t>
  </si>
  <si>
    <t>Montana</t>
  </si>
  <si>
    <t>Angel of Meth</t>
  </si>
  <si>
    <t>Jill</t>
  </si>
  <si>
    <t>D</t>
  </si>
  <si>
    <t>Massachusetts</t>
  </si>
  <si>
    <t>bowski477</t>
  </si>
  <si>
    <t>Aquacunt</t>
  </si>
  <si>
    <t>Becky</t>
  </si>
  <si>
    <t>Gill</t>
  </si>
  <si>
    <t>Idaho</t>
  </si>
  <si>
    <t>Areola Helwani</t>
  </si>
  <si>
    <t>Anthony</t>
  </si>
  <si>
    <t>Arellano</t>
  </si>
  <si>
    <t>California</t>
  </si>
  <si>
    <t>Asian Driver</t>
  </si>
  <si>
    <t>Andrew</t>
  </si>
  <si>
    <t>Streety</t>
  </si>
  <si>
    <t>Asian Metal</t>
  </si>
  <si>
    <t>Andrew</t>
  </si>
  <si>
    <t>Lee</t>
  </si>
  <si>
    <t>Ass Banshee</t>
  </si>
  <si>
    <t>Daniel</t>
  </si>
  <si>
    <t>McCallister</t>
  </si>
  <si>
    <t>Ass Florist</t>
  </si>
  <si>
    <t>Terrence A</t>
  </si>
  <si>
    <t>Bumgarner</t>
  </si>
  <si>
    <t>Ass To Mouth</t>
  </si>
  <si>
    <t>Clark</t>
  </si>
  <si>
    <t>Church</t>
  </si>
  <si>
    <t>Aunt Jermamma</t>
  </si>
  <si>
    <t>Levi</t>
  </si>
  <si>
    <t>Silz</t>
  </si>
  <si>
    <t>B.A. Barracus</t>
  </si>
  <si>
    <t>Jordan</t>
  </si>
  <si>
    <t>Wilmot</t>
  </si>
  <si>
    <t>Baby Eagle Cheetah</t>
  </si>
  <si>
    <t>Jeff</t>
  </si>
  <si>
    <t>Reed</t>
  </si>
  <si>
    <t>Bacon Mole</t>
  </si>
  <si>
    <t>Ryan</t>
  </si>
  <si>
    <t>Sigurdson</t>
  </si>
  <si>
    <t>Bagel Support System</t>
  </si>
  <si>
    <t>Josh</t>
  </si>
  <si>
    <t>Kyser</t>
  </si>
  <si>
    <t>Ballsacks</t>
  </si>
  <si>
    <t>Vince</t>
  </si>
  <si>
    <t>Massi</t>
  </si>
  <si>
    <t>Barbie Nazi</t>
  </si>
  <si>
    <t>Andrew</t>
  </si>
  <si>
    <t>Furseth</t>
  </si>
  <si>
    <t>Bear Driver</t>
  </si>
  <si>
    <t>Steve</t>
  </si>
  <si>
    <t>York</t>
  </si>
  <si>
    <t>Bear Rapist</t>
  </si>
  <si>
    <t>Kane</t>
  </si>
  <si>
    <t>Sheane</t>
  </si>
  <si>
    <t>Beefpanther</t>
  </si>
  <si>
    <t>Jill</t>
  </si>
  <si>
    <t>Schwyter</t>
  </si>
  <si>
    <t>Oregon</t>
  </si>
  <si>
    <t>Big Shit</t>
  </si>
  <si>
    <t>Corey</t>
  </si>
  <si>
    <t>Rose</t>
  </si>
  <si>
    <t>Bilf</t>
  </si>
  <si>
    <t>Neil</t>
  </si>
  <si>
    <t>Bear</t>
  </si>
  <si>
    <t>Bill Blow Baggins</t>
  </si>
  <si>
    <t>Joey</t>
  </si>
  <si>
    <t>Eggins</t>
  </si>
  <si>
    <t>Billy Ray Virus</t>
  </si>
  <si>
    <t>Tyler</t>
  </si>
  <si>
    <t>Wray</t>
  </si>
  <si>
    <t>Bitch Little</t>
  </si>
  <si>
    <t>Scooter</t>
  </si>
  <si>
    <t>Cree</t>
  </si>
  <si>
    <t>bitPimps</t>
  </si>
  <si>
    <t>Tim</t>
  </si>
  <si>
    <t>Timmerson</t>
  </si>
  <si>
    <t>Missouri</t>
  </si>
  <si>
    <t>President</t>
  </si>
  <si>
    <t>Black Magnum</t>
  </si>
  <si>
    <t>Anthony</t>
  </si>
  <si>
    <t>Johnson</t>
  </si>
  <si>
    <t>Black Swan</t>
  </si>
  <si>
    <t>Brian</t>
  </si>
  <si>
    <t>Cogdill</t>
  </si>
  <si>
    <t>Missouri</t>
  </si>
  <si>
    <t>cogdeth</t>
  </si>
  <si>
    <t>Vice President</t>
  </si>
  <si>
    <t>Blackie Witherspoon</t>
  </si>
  <si>
    <t>Chris</t>
  </si>
  <si>
    <t>Riese</t>
  </si>
  <si>
    <t>Saskatchewan</t>
  </si>
  <si>
    <t>Prime Minister</t>
  </si>
  <si>
    <t>Bloated Sasquatch</t>
  </si>
  <si>
    <t>Joe</t>
  </si>
  <si>
    <t>Hodgdon</t>
  </si>
  <si>
    <t>California</t>
  </si>
  <si>
    <t>Blood Eagle</t>
  </si>
  <si>
    <t>Hughes</t>
  </si>
  <si>
    <t>Roussel</t>
  </si>
  <si>
    <t>Blood Goblet</t>
  </si>
  <si>
    <t>Kevin</t>
  </si>
  <si>
    <t>Lamb</t>
  </si>
  <si>
    <t>Blow Gay Simpson</t>
  </si>
  <si>
    <t>Ashley Edward</t>
  </si>
  <si>
    <t>Liskow</t>
  </si>
  <si>
    <t>Board Op</t>
  </si>
  <si>
    <t>Joe</t>
  </si>
  <si>
    <t>Parker</t>
  </si>
  <si>
    <t>Body Glover</t>
  </si>
  <si>
    <t>Mike</t>
  </si>
  <si>
    <t>Glover</t>
  </si>
  <si>
    <t>BoJangles</t>
  </si>
  <si>
    <t>Shelley</t>
  </si>
  <si>
    <t>Davis Jr</t>
  </si>
  <si>
    <t>Bojangles Witherspoon</t>
  </si>
  <si>
    <t>Robert</t>
  </si>
  <si>
    <t>Aguirre</t>
  </si>
  <si>
    <t>Bonk</t>
  </si>
  <si>
    <t>Kevin</t>
  </si>
  <si>
    <t>Stuard</t>
  </si>
  <si>
    <t>South Carolina</t>
  </si>
  <si>
    <t>Bonk</t>
  </si>
  <si>
    <t>President</t>
  </si>
  <si>
    <t>Booty Rust</t>
  </si>
  <si>
    <t>Bobby</t>
  </si>
  <si>
    <t>Kainer</t>
  </si>
  <si>
    <t>Boozy The Clown</t>
  </si>
  <si>
    <t>Dave</t>
  </si>
  <si>
    <t>Hester</t>
  </si>
  <si>
    <t>Nevada</t>
  </si>
  <si>
    <t>Vegasking99</t>
  </si>
  <si>
    <t>President</t>
  </si>
  <si>
    <t>Brian Bullshit</t>
  </si>
  <si>
    <t>Brian</t>
  </si>
  <si>
    <t>Christ</t>
  </si>
  <si>
    <t>Brown Lube</t>
  </si>
  <si>
    <t>Corey</t>
  </si>
  <si>
    <t>Priester</t>
  </si>
  <si>
    <t>Brown Syndrome</t>
  </si>
  <si>
    <t>Tyler</t>
  </si>
  <si>
    <t>Brown</t>
  </si>
  <si>
    <t>Bruce Cougar</t>
  </si>
  <si>
    <t>Doug</t>
  </si>
  <si>
    <t>Hahn</t>
  </si>
  <si>
    <t>Bryan Bukkake</t>
  </si>
  <si>
    <t>Bryan</t>
  </si>
  <si>
    <t>Lotocki</t>
  </si>
  <si>
    <t>Manitoba</t>
  </si>
  <si>
    <t>blotocki</t>
  </si>
  <si>
    <t>Burtmuda Triangle</t>
  </si>
  <si>
    <t>Brett</t>
  </si>
  <si>
    <t>Rowand</t>
  </si>
  <si>
    <t>Bus Penguin</t>
  </si>
  <si>
    <t>Greg</t>
  </si>
  <si>
    <t>Allen</t>
  </si>
  <si>
    <t>Buster Brown</t>
  </si>
  <si>
    <t>Buster</t>
  </si>
  <si>
    <t>Brown</t>
  </si>
  <si>
    <t>Butt Booty</t>
  </si>
  <si>
    <t>William</t>
  </si>
  <si>
    <t>S</t>
  </si>
  <si>
    <t>Butterballs</t>
  </si>
  <si>
    <t>Michael</t>
  </si>
  <si>
    <t>Soria</t>
  </si>
  <si>
    <t>California</t>
  </si>
  <si>
    <t>HEYSUS</t>
  </si>
  <si>
    <t>President</t>
  </si>
  <si>
    <t>Byron Cullen</t>
  </si>
  <si>
    <t>Byron Lee</t>
  </si>
  <si>
    <t>Dusek</t>
  </si>
  <si>
    <t>Camberetta</t>
  </si>
  <si>
    <t>Cam</t>
  </si>
  <si>
    <t>Baird</t>
  </si>
  <si>
    <t>Captain Banana Trousers</t>
  </si>
  <si>
    <t>Daniel</t>
  </si>
  <si>
    <t>Rozier</t>
  </si>
  <si>
    <t>Captain Choo Choo</t>
  </si>
  <si>
    <t>Morgan</t>
  </si>
  <si>
    <t>Eberts</t>
  </si>
  <si>
    <t>Saskatchewan</t>
  </si>
  <si>
    <t>Captain Racist</t>
  </si>
  <si>
    <t>Matthew</t>
  </si>
  <si>
    <t>Rundell</t>
  </si>
  <si>
    <t>Carfucker</t>
  </si>
  <si>
    <t>Corbin</t>
  </si>
  <si>
    <t>Lehman</t>
  </si>
  <si>
    <t>Charlie Chapstick</t>
  </si>
  <si>
    <t>Jeff</t>
  </si>
  <si>
    <t>Chapman</t>
  </si>
  <si>
    <t>Cheese</t>
  </si>
  <si>
    <t>Gerald</t>
  </si>
  <si>
    <t>Pringle</t>
  </si>
  <si>
    <t>British Columbia</t>
  </si>
  <si>
    <t>geraldpringle</t>
  </si>
  <si>
    <t>Chef Gayardee</t>
  </si>
  <si>
    <t>Spencer</t>
  </si>
  <si>
    <t>Luciani</t>
  </si>
  <si>
    <t>Chief Brody</t>
  </si>
  <si>
    <t>Andy</t>
  </si>
  <si>
    <t>Brodman</t>
  </si>
  <si>
    <t>Minnesota</t>
  </si>
  <si>
    <t>alphadawg</t>
  </si>
  <si>
    <t>Chief Queef</t>
  </si>
  <si>
    <t>Tim</t>
  </si>
  <si>
    <t>Pincumbe</t>
  </si>
  <si>
    <t>Choo Choo Puffington</t>
  </si>
  <si>
    <t>Chris</t>
  </si>
  <si>
    <t>Cardinal</t>
  </si>
  <si>
    <t>Chunk Gape</t>
  </si>
  <si>
    <t>Ed</t>
  </si>
  <si>
    <t>Turner</t>
  </si>
  <si>
    <t>Chunky Placenta</t>
  </si>
  <si>
    <t>Chance</t>
  </si>
  <si>
    <t>Pliska</t>
  </si>
  <si>
    <t>Clark Cable</t>
  </si>
  <si>
    <t>Jon</t>
  </si>
  <si>
    <t>Burrier</t>
  </si>
  <si>
    <t>Clit Cheetos</t>
  </si>
  <si>
    <t>Melissa</t>
  </si>
  <si>
    <t>Alexander</t>
  </si>
  <si>
    <t>California</t>
  </si>
  <si>
    <t>Missy3696</t>
  </si>
  <si>
    <t>Clit Gingivitis</t>
  </si>
  <si>
    <t>Greg</t>
  </si>
  <si>
    <t>M</t>
  </si>
  <si>
    <t>California</t>
  </si>
  <si>
    <t>@fingerxpressions</t>
  </si>
  <si>
    <t>DjFX</t>
  </si>
  <si>
    <t>Clubber Lame</t>
  </si>
  <si>
    <t>Joe</t>
  </si>
  <si>
    <t>Rivera</t>
  </si>
  <si>
    <t>ClubHouseSandwich</t>
  </si>
  <si>
    <t>Cam</t>
  </si>
  <si>
    <t>Audet</t>
  </si>
  <si>
    <t>Alberta</t>
  </si>
  <si>
    <t>CamTheClam</t>
  </si>
  <si>
    <t>Cobra Shark</t>
  </si>
  <si>
    <t>Dan</t>
  </si>
  <si>
    <t>Boey</t>
  </si>
  <si>
    <t>Cock Dockington</t>
  </si>
  <si>
    <t>Jeff</t>
  </si>
  <si>
    <t>Olderness</t>
  </si>
  <si>
    <t>Cock Fondue</t>
  </si>
  <si>
    <t>Mark</t>
  </si>
  <si>
    <t>McKay</t>
  </si>
  <si>
    <t>Cock Global</t>
  </si>
  <si>
    <t>Matt</t>
  </si>
  <si>
    <t>Booker</t>
  </si>
  <si>
    <t>Cock Lightning McQueen</t>
  </si>
  <si>
    <t>Matthew</t>
  </si>
  <si>
    <t>Wendel</t>
  </si>
  <si>
    <t>Cock Mount</t>
  </si>
  <si>
    <t>Mike</t>
  </si>
  <si>
    <t>Bowden</t>
  </si>
  <si>
    <t>Cock Mount Chocula</t>
  </si>
  <si>
    <t>Perri</t>
  </si>
  <si>
    <t>Rosett</t>
  </si>
  <si>
    <t>Cock Shadows</t>
  </si>
  <si>
    <t>Beau</t>
  </si>
  <si>
    <t>Shane</t>
  </si>
  <si>
    <t>Cock Starvin' Marvin</t>
  </si>
  <si>
    <t>Kim</t>
  </si>
  <si>
    <t>Marvin</t>
  </si>
  <si>
    <t>Cock Syrup</t>
  </si>
  <si>
    <t>Brett</t>
  </si>
  <si>
    <t>Mclean</t>
  </si>
  <si>
    <t>Cock Voltage</t>
  </si>
  <si>
    <t>Michael</t>
  </si>
  <si>
    <t>DeHann</t>
  </si>
  <si>
    <t>Cock Vulture</t>
  </si>
  <si>
    <t>Todd</t>
  </si>
  <si>
    <t>Fredrickson</t>
  </si>
  <si>
    <t>Arizona</t>
  </si>
  <si>
    <t>Cockness Monster III</t>
  </si>
  <si>
    <t>Eric</t>
  </si>
  <si>
    <t>Evanson</t>
  </si>
  <si>
    <t>Colt Voltage</t>
  </si>
  <si>
    <t>Colin</t>
  </si>
  <si>
    <t>Day</t>
  </si>
  <si>
    <t>Colton Scaryfuck</t>
  </si>
  <si>
    <t>Colton</t>
  </si>
  <si>
    <t>Arychuk</t>
  </si>
  <si>
    <t>Conchita The Booger Eater</t>
  </si>
  <si>
    <t>Mark</t>
  </si>
  <si>
    <t>Navarro</t>
  </si>
  <si>
    <t>Concrete Balls</t>
  </si>
  <si>
    <t>TJ</t>
  </si>
  <si>
    <t>Austin Jr</t>
  </si>
  <si>
    <t>Pennsylvania</t>
  </si>
  <si>
    <t>Constapatin' Manning</t>
  </si>
  <si>
    <t>Derek</t>
  </si>
  <si>
    <t>Allen</t>
  </si>
  <si>
    <t>Corey Lame</t>
  </si>
  <si>
    <t>Cory</t>
  </si>
  <si>
    <t>Breach</t>
  </si>
  <si>
    <t>Cougar Shaft</t>
  </si>
  <si>
    <t>Andrew</t>
  </si>
  <si>
    <t>Clark</t>
  </si>
  <si>
    <t>Crap Wagon</t>
  </si>
  <si>
    <t>Tyler</t>
  </si>
  <si>
    <t>Blackburn</t>
  </si>
  <si>
    <t>Crazy Jerr</t>
  </si>
  <si>
    <t>Jerry</t>
  </si>
  <si>
    <t>Tucker</t>
  </si>
  <si>
    <t>Colorado</t>
  </si>
  <si>
    <t>President</t>
  </si>
  <si>
    <t>cringe</t>
  </si>
  <si>
    <t>Aaron</t>
  </si>
  <si>
    <t>Texas</t>
  </si>
  <si>
    <t>cringe</t>
  </si>
  <si>
    <t>Croisandra</t>
  </si>
  <si>
    <t>Michel</t>
  </si>
  <si>
    <t>Touchette</t>
  </si>
  <si>
    <t>Cujo</t>
  </si>
  <si>
    <t>Jeffrey</t>
  </si>
  <si>
    <t>G</t>
  </si>
  <si>
    <t>Ontario</t>
  </si>
  <si>
    <t>jakejeff</t>
  </si>
  <si>
    <t>Cum Million</t>
  </si>
  <si>
    <t>Brad</t>
  </si>
  <si>
    <t>Martin</t>
  </si>
  <si>
    <t>Cumtard</t>
  </si>
  <si>
    <t>Kevin</t>
  </si>
  <si>
    <t>Kraft</t>
  </si>
  <si>
    <t>California</t>
  </si>
  <si>
    <t>Court Jester</t>
  </si>
  <si>
    <t>Cunt Fangs</t>
  </si>
  <si>
    <t>Adam</t>
  </si>
  <si>
    <t>Ross</t>
  </si>
  <si>
    <t>Cunt Hunter</t>
  </si>
  <si>
    <t>Hunter</t>
  </si>
  <si>
    <t>Young</t>
  </si>
  <si>
    <t>Texas</t>
  </si>
  <si>
    <t>bounty113</t>
  </si>
  <si>
    <t>Cunt Million</t>
  </si>
  <si>
    <t>David</t>
  </si>
  <si>
    <t>Sokol</t>
  </si>
  <si>
    <t>Cunt Succubus</t>
  </si>
  <si>
    <t>Josephine</t>
  </si>
  <si>
    <t>Greenlee</t>
  </si>
  <si>
    <t>Cut Yeah</t>
  </si>
  <si>
    <t>Stephanie</t>
  </si>
  <si>
    <t>Kutno</t>
  </si>
  <si>
    <t>California</t>
  </si>
  <si>
    <t>D-Rob</t>
  </si>
  <si>
    <t>Doug</t>
  </si>
  <si>
    <t>Robertson</t>
  </si>
  <si>
    <t>Illinois</t>
  </si>
  <si>
    <t>drob70</t>
  </si>
  <si>
    <t>Vice President</t>
  </si>
  <si>
    <t>Dark Log</t>
  </si>
  <si>
    <t>Jimmy</t>
  </si>
  <si>
    <t>Sheane</t>
  </si>
  <si>
    <t>Darryl Shitberry</t>
  </si>
  <si>
    <t>Rob</t>
  </si>
  <si>
    <t>Whitehead</t>
  </si>
  <si>
    <t>Dave Matthews</t>
  </si>
  <si>
    <t>Jeff</t>
  </si>
  <si>
    <t>Messick</t>
  </si>
  <si>
    <t>California</t>
  </si>
  <si>
    <t>WKDaveMatthews</t>
  </si>
  <si>
    <t>Death Vendor</t>
  </si>
  <si>
    <t>Dustin</t>
  </si>
  <si>
    <t>Faulkner</t>
  </si>
  <si>
    <t>Deeznuts</t>
  </si>
  <si>
    <t>Mark</t>
  </si>
  <si>
    <t>Snider</t>
  </si>
  <si>
    <t>Dennis The Penis</t>
  </si>
  <si>
    <t>Denny</t>
  </si>
  <si>
    <t>Provencal</t>
  </si>
  <si>
    <t>Desert Eagle</t>
  </si>
  <si>
    <t>Blake</t>
  </si>
  <si>
    <t>Segal</t>
  </si>
  <si>
    <t>California</t>
  </si>
  <si>
    <t>DesertEagle</t>
  </si>
  <si>
    <t>Diablo Tuna</t>
  </si>
  <si>
    <t>Denise</t>
  </si>
  <si>
    <t>Bertolotti</t>
  </si>
  <si>
    <t>New York</t>
  </si>
  <si>
    <t>niece575</t>
  </si>
  <si>
    <t>First Lady</t>
  </si>
  <si>
    <t>Diamond Fist</t>
  </si>
  <si>
    <t>Dean</t>
  </si>
  <si>
    <t>Scully</t>
  </si>
  <si>
    <t>California</t>
  </si>
  <si>
    <t>Diamond Jizz</t>
  </si>
  <si>
    <t>Brett</t>
  </si>
  <si>
    <t>McDaniel</t>
  </si>
  <si>
    <t>California</t>
  </si>
  <si>
    <t>Drmcbigdick</t>
  </si>
  <si>
    <t>Diamond Republican</t>
  </si>
  <si>
    <t>Nick</t>
  </si>
  <si>
    <t>Faulks</t>
  </si>
  <si>
    <t>Dick Butthole Dumb</t>
  </si>
  <si>
    <t>Justin</t>
  </si>
  <si>
    <t>Penner</t>
  </si>
  <si>
    <t>Dick Chaser</t>
  </si>
  <si>
    <t>Matt</t>
  </si>
  <si>
    <t>Richards</t>
  </si>
  <si>
    <t>Dick Clit Guy</t>
  </si>
  <si>
    <t>Lynn</t>
  </si>
  <si>
    <t>Richens</t>
  </si>
  <si>
    <t>Dick Death</t>
  </si>
  <si>
    <t>Scott</t>
  </si>
  <si>
    <t>Brush</t>
  </si>
  <si>
    <t>Dick Explosion</t>
  </si>
  <si>
    <t>Larry</t>
  </si>
  <si>
    <t>Morgan</t>
  </si>
  <si>
    <t>Dick Fiasco</t>
  </si>
  <si>
    <t>William</t>
  </si>
  <si>
    <t>Glasgow</t>
  </si>
  <si>
    <t>Dick Fixer</t>
  </si>
  <si>
    <t>Mitch</t>
  </si>
  <si>
    <t>Stein</t>
  </si>
  <si>
    <t>Minnesota</t>
  </si>
  <si>
    <t>Dick Jackoff</t>
  </si>
  <si>
    <t>James</t>
  </si>
  <si>
    <t>Jiricka</t>
  </si>
  <si>
    <t>Dick Mouthington</t>
  </si>
  <si>
    <t>Leah</t>
  </si>
  <si>
    <t>Temes</t>
  </si>
  <si>
    <t>Dick Ribs</t>
  </si>
  <si>
    <t>Matt</t>
  </si>
  <si>
    <t>Mercer</t>
  </si>
  <si>
    <t>Dick Ricter</t>
  </si>
  <si>
    <t>Greg</t>
  </si>
  <si>
    <t>DeVeau</t>
  </si>
  <si>
    <t>New York</t>
  </si>
  <si>
    <t>Dick Sandwich McGee</t>
  </si>
  <si>
    <t>Steve</t>
  </si>
  <si>
    <t>Dinsdale</t>
  </si>
  <si>
    <t>California</t>
  </si>
  <si>
    <t>stevetheman</t>
  </si>
  <si>
    <t>Dick-Fil-A</t>
  </si>
  <si>
    <t>Dennis</t>
  </si>
  <si>
    <t>Belanger</t>
  </si>
  <si>
    <t>DJ Herpes</t>
  </si>
  <si>
    <t>Keith</t>
  </si>
  <si>
    <t>Salinas</t>
  </si>
  <si>
    <t>Texas</t>
  </si>
  <si>
    <t>DJHERPES</t>
  </si>
  <si>
    <t>Dong Johnson</t>
  </si>
  <si>
    <t>Ronald</t>
  </si>
  <si>
    <t>Whaley</t>
  </si>
  <si>
    <t>DONK</t>
  </si>
  <si>
    <t>TJ</t>
  </si>
  <si>
    <t>Hale</t>
  </si>
  <si>
    <t>Virginia</t>
  </si>
  <si>
    <t>Dr. Assteeth</t>
  </si>
  <si>
    <t>Edward</t>
  </si>
  <si>
    <t>Asdel</t>
  </si>
  <si>
    <t>Dr. Boo Boo</t>
  </si>
  <si>
    <t>Sean</t>
  </si>
  <si>
    <t>British Columbia</t>
  </si>
  <si>
    <t>DrBooBoo</t>
  </si>
  <si>
    <t>Prime Minister</t>
  </si>
  <si>
    <t>Dr. Cocksucker</t>
  </si>
  <si>
    <t>Richy</t>
  </si>
  <si>
    <t>Bang</t>
  </si>
  <si>
    <t>Alberta</t>
  </si>
  <si>
    <t>richybang</t>
  </si>
  <si>
    <t>Dr. Dickweed</t>
  </si>
  <si>
    <t>Ben</t>
  </si>
  <si>
    <t>Corbett</t>
  </si>
  <si>
    <t>Dr. Gay</t>
  </si>
  <si>
    <t>Jerry</t>
  </si>
  <si>
    <t>Nelson</t>
  </si>
  <si>
    <t>Dude Uterus</t>
  </si>
  <si>
    <t>Brooke</t>
  </si>
  <si>
    <t>Provencher</t>
  </si>
  <si>
    <t>Dutch</t>
  </si>
  <si>
    <t>Kees</t>
  </si>
  <si>
    <t>Woudenberg</t>
  </si>
  <si>
    <t>Colorado</t>
  </si>
  <si>
    <t>dbldutch</t>
  </si>
  <si>
    <t>Vice President</t>
  </si>
  <si>
    <t>Eagle Bigfire</t>
  </si>
  <si>
    <t>Dan</t>
  </si>
  <si>
    <t>McNutt</t>
  </si>
  <si>
    <t>Eagle Cum</t>
  </si>
  <si>
    <t>Jessie</t>
  </si>
  <si>
    <t>Klatt</t>
  </si>
  <si>
    <t>Saskatchewan</t>
  </si>
  <si>
    <t>Eagle Precum</t>
  </si>
  <si>
    <t>Adam</t>
  </si>
  <si>
    <t>Cook</t>
  </si>
  <si>
    <t>El Guzy</t>
  </si>
  <si>
    <t>Ernie</t>
  </si>
  <si>
    <t>Guzman</t>
  </si>
  <si>
    <t>Electric Booga-Loo</t>
  </si>
  <si>
    <t>Louis</t>
  </si>
  <si>
    <t>Electric Diamond Sword</t>
  </si>
  <si>
    <t>Will</t>
  </si>
  <si>
    <t>Gump</t>
  </si>
  <si>
    <t>Electric Dirt</t>
  </si>
  <si>
    <t>Seth</t>
  </si>
  <si>
    <t>Hum</t>
  </si>
  <si>
    <t>Electric Jesus</t>
  </si>
  <si>
    <t>Justin</t>
  </si>
  <si>
    <t>Chappell</t>
  </si>
  <si>
    <t>Elephant Dick</t>
  </si>
  <si>
    <t>Brian</t>
  </si>
  <si>
    <t>McManus</t>
  </si>
  <si>
    <t>Tennessee</t>
  </si>
  <si>
    <t>Elvis Horsedick</t>
  </si>
  <si>
    <t>Anthony</t>
  </si>
  <si>
    <t>Knight</t>
  </si>
  <si>
    <t>Alaska</t>
  </si>
  <si>
    <t>Emergency Tits</t>
  </si>
  <si>
    <t>Brittany</t>
  </si>
  <si>
    <t>Voskuhl</t>
  </si>
  <si>
    <t>Emporer Cunt</t>
  </si>
  <si>
    <t>Chris</t>
  </si>
  <si>
    <t>Lepine</t>
  </si>
  <si>
    <t>Emporer Racoon</t>
  </si>
  <si>
    <t>Manny</t>
  </si>
  <si>
    <t>Rivera</t>
  </si>
  <si>
    <t>Empty Wallet</t>
  </si>
  <si>
    <t>Mike</t>
  </si>
  <si>
    <t>Brych</t>
  </si>
  <si>
    <t>North Carolina</t>
  </si>
  <si>
    <t>only10</t>
  </si>
  <si>
    <t>Eric Clapton</t>
  </si>
  <si>
    <t>Louis</t>
  </si>
  <si>
    <t>McGuire</t>
  </si>
  <si>
    <t>Escargonads</t>
  </si>
  <si>
    <t>Renee</t>
  </si>
  <si>
    <t>Oleary</t>
  </si>
  <si>
    <t>Evil Cheetos</t>
  </si>
  <si>
    <t>Shawna</t>
  </si>
  <si>
    <t>Henry</t>
  </si>
  <si>
    <t>Evil Gonorrhea</t>
  </si>
  <si>
    <t>Andrew</t>
  </si>
  <si>
    <t>Martin</t>
  </si>
  <si>
    <t>Evil Queen</t>
  </si>
  <si>
    <t>Chris</t>
  </si>
  <si>
    <t>Willingham</t>
  </si>
  <si>
    <t>Evil Worshipper</t>
  </si>
  <si>
    <t>Adam</t>
  </si>
  <si>
    <t>Freeman</t>
  </si>
  <si>
    <t>Georgia</t>
  </si>
  <si>
    <t>adamb2001</t>
  </si>
  <si>
    <t>Excrement Tom</t>
  </si>
  <si>
    <t>Tom</t>
  </si>
  <si>
    <t>Navarro</t>
  </si>
  <si>
    <t>Falcon Rage Butt</t>
  </si>
  <si>
    <t>Luke</t>
  </si>
  <si>
    <t>Albin</t>
  </si>
  <si>
    <t>Fancy Scabs</t>
  </si>
  <si>
    <t>Brad</t>
  </si>
  <si>
    <t>Brown</t>
  </si>
  <si>
    <t>Fantastic Balls</t>
  </si>
  <si>
    <t>Sean</t>
  </si>
  <si>
    <t>Stevenson</t>
  </si>
  <si>
    <t>California</t>
  </si>
  <si>
    <t>Fart Attack</t>
  </si>
  <si>
    <t>Mike</t>
  </si>
  <si>
    <t>DeHart</t>
  </si>
  <si>
    <t>Fart Hoselog</t>
  </si>
  <si>
    <t>Jarrod</t>
  </si>
  <si>
    <t>McKinney</t>
  </si>
  <si>
    <t>Fartman Wrinklebottom</t>
  </si>
  <si>
    <t>Warren</t>
  </si>
  <si>
    <t>V</t>
  </si>
  <si>
    <t>Fartwrath</t>
  </si>
  <si>
    <t>Dylan</t>
  </si>
  <si>
    <t>Knapp</t>
  </si>
  <si>
    <t>Felch Calzone</t>
  </si>
  <si>
    <t>Ty</t>
  </si>
  <si>
    <t>Zahn</t>
  </si>
  <si>
    <t>Finger Dickin' Good</t>
  </si>
  <si>
    <t>Peter</t>
  </si>
  <si>
    <t>Kahney</t>
  </si>
  <si>
    <t>Firefucker</t>
  </si>
  <si>
    <t>Randy</t>
  </si>
  <si>
    <t>Garza</t>
  </si>
  <si>
    <t>Firenado</t>
  </si>
  <si>
    <t>Patrick</t>
  </si>
  <si>
    <t>Loftus</t>
  </si>
  <si>
    <t>Fish Lightning</t>
  </si>
  <si>
    <t>Jason</t>
  </si>
  <si>
    <t>Coffey</t>
  </si>
  <si>
    <t>Fish Pisseroni</t>
  </si>
  <si>
    <t>Anthony</t>
  </si>
  <si>
    <t>Piscione</t>
  </si>
  <si>
    <t>Flash Cum</t>
  </si>
  <si>
    <t>Ryan</t>
  </si>
  <si>
    <t>Orr</t>
  </si>
  <si>
    <t>Fonzo Blunt</t>
  </si>
  <si>
    <t>Fonso</t>
  </si>
  <si>
    <t>Estrada</t>
  </si>
  <si>
    <t>California</t>
  </si>
  <si>
    <t>Fonso</t>
  </si>
  <si>
    <t>Vice President</t>
  </si>
  <si>
    <t>2014 So-Cal WK of The Year</t>
  </si>
  <si>
    <t>Four Potatoes &amp; A Log</t>
  </si>
  <si>
    <t>Tim</t>
  </si>
  <si>
    <t>Brady</t>
  </si>
  <si>
    <t>Frack Nicholson</t>
  </si>
  <si>
    <t>Matt</t>
  </si>
  <si>
    <t>Robson</t>
  </si>
  <si>
    <t>Fragglerock</t>
  </si>
  <si>
    <t>McAllister</t>
  </si>
  <si>
    <t>Rutlegge</t>
  </si>
  <si>
    <t>French Diarrhea</t>
  </si>
  <si>
    <t>Chad</t>
  </si>
  <si>
    <t>Berlingeri</t>
  </si>
  <si>
    <t>Frosty Sack</t>
  </si>
  <si>
    <t>Jerad</t>
  </si>
  <si>
    <t>S</t>
  </si>
  <si>
    <t>Frozen Shitknife III</t>
  </si>
  <si>
    <t>Tyler</t>
  </si>
  <si>
    <t>Fuck Goddess</t>
  </si>
  <si>
    <t>Kim</t>
  </si>
  <si>
    <t>Dultz</t>
  </si>
  <si>
    <t>Idaho</t>
  </si>
  <si>
    <t>KimDultz</t>
  </si>
  <si>
    <t>First Lady</t>
  </si>
  <si>
    <t>Fuck My Face</t>
  </si>
  <si>
    <t>Briar</t>
  </si>
  <si>
    <t>Smith</t>
  </si>
  <si>
    <t>Fuck Yeah Riffington</t>
  </si>
  <si>
    <t>Mike</t>
  </si>
  <si>
    <t>Savage</t>
  </si>
  <si>
    <t>Fuckasaurus</t>
  </si>
  <si>
    <t>Cody</t>
  </si>
  <si>
    <t>Davis</t>
  </si>
  <si>
    <t>Texas</t>
  </si>
  <si>
    <t>Vice President</t>
  </si>
  <si>
    <t>Fuckface</t>
  </si>
  <si>
    <t>Evan</t>
  </si>
  <si>
    <t>Rodegard</t>
  </si>
  <si>
    <t>California</t>
  </si>
  <si>
    <t>Fuckin' Yoga Pants</t>
  </si>
  <si>
    <t>Anthony</t>
  </si>
  <si>
    <t>Prion</t>
  </si>
  <si>
    <t>Full Blown Mark</t>
  </si>
  <si>
    <t>Mark</t>
  </si>
  <si>
    <t>Behringer</t>
  </si>
  <si>
    <t>Full Trucker Effect</t>
  </si>
  <si>
    <t>Larry</t>
  </si>
  <si>
    <t>Martin</t>
  </si>
  <si>
    <t>Functional Alcoholic</t>
  </si>
  <si>
    <t>Robert</t>
  </si>
  <si>
    <t>Walsh</t>
  </si>
  <si>
    <t>Gamma Gangster</t>
  </si>
  <si>
    <t>Ryan</t>
  </si>
  <si>
    <t>Wessel</t>
  </si>
  <si>
    <t>Gap Hole</t>
  </si>
  <si>
    <t>Brad</t>
  </si>
  <si>
    <t>Welch</t>
  </si>
  <si>
    <t>Gash Gordon</t>
  </si>
  <si>
    <t>Adam</t>
  </si>
  <si>
    <t>Guyot</t>
  </si>
  <si>
    <t>Gasshole</t>
  </si>
  <si>
    <t>Marc</t>
  </si>
  <si>
    <t>Provencher</t>
  </si>
  <si>
    <t>Gay Blow-Me Campbell</t>
  </si>
  <si>
    <t>Alex</t>
  </si>
  <si>
    <t>Smith</t>
  </si>
  <si>
    <t>Gay For Pay</t>
  </si>
  <si>
    <t>Kevin</t>
  </si>
  <si>
    <t>Basanez</t>
  </si>
  <si>
    <t>Gay Porn</t>
  </si>
  <si>
    <t>Scott</t>
  </si>
  <si>
    <t>Henriksen</t>
  </si>
  <si>
    <t>Gay Satan 2.5</t>
  </si>
  <si>
    <t>Grant</t>
  </si>
  <si>
    <t>Austin</t>
  </si>
  <si>
    <t>Gayco</t>
  </si>
  <si>
    <t>Mike</t>
  </si>
  <si>
    <t>Sullivan</t>
  </si>
  <si>
    <t>Gaydolph Shitler</t>
  </si>
  <si>
    <t>Kryan</t>
  </si>
  <si>
    <t>Giesbrecht</t>
  </si>
  <si>
    <t>Giftbag</t>
  </si>
  <si>
    <t>Briant</t>
  </si>
  <si>
    <t>Allen</t>
  </si>
  <si>
    <t>Gigi</t>
  </si>
  <si>
    <t>Darya</t>
  </si>
  <si>
    <t>Wolfe</t>
  </si>
  <si>
    <t>California</t>
  </si>
  <si>
    <t>DarDar70</t>
  </si>
  <si>
    <t>Giraffroman</t>
  </si>
  <si>
    <t>Geoffrey</t>
  </si>
  <si>
    <t>Ray</t>
  </si>
  <si>
    <t>Girlman Dingle</t>
  </si>
  <si>
    <t>Chris</t>
  </si>
  <si>
    <t>Christensen</t>
  </si>
  <si>
    <t>Girth Brooks</t>
  </si>
  <si>
    <t>Nick</t>
  </si>
  <si>
    <t>Vlachos</t>
  </si>
  <si>
    <t>Gizzelle Bunchkin</t>
  </si>
  <si>
    <t>Jeff</t>
  </si>
  <si>
    <t>Penner</t>
  </si>
  <si>
    <t>Gleaming The Pube</t>
  </si>
  <si>
    <t>Jordan</t>
  </si>
  <si>
    <t>Schroeder</t>
  </si>
  <si>
    <t>Goat Throat</t>
  </si>
  <si>
    <t>Chad</t>
  </si>
  <si>
    <t>Scheler</t>
  </si>
  <si>
    <t>Virginia</t>
  </si>
  <si>
    <t>God Coleman</t>
  </si>
  <si>
    <t>Barry</t>
  </si>
  <si>
    <t>Coleman</t>
  </si>
  <si>
    <t>Alberta</t>
  </si>
  <si>
    <t>God Satan</t>
  </si>
  <si>
    <t>Steven</t>
  </si>
  <si>
    <t>Ellis</t>
  </si>
  <si>
    <t>Goo Hole</t>
  </si>
  <si>
    <t>Ryan</t>
  </si>
  <si>
    <t>Ryling</t>
  </si>
  <si>
    <t>Gook Wilson</t>
  </si>
  <si>
    <t>Mark</t>
  </si>
  <si>
    <t>Zuccaro</t>
  </si>
  <si>
    <t>Gorilla Ass</t>
  </si>
  <si>
    <t>Matt</t>
  </si>
  <si>
    <t>Eggleston</t>
  </si>
  <si>
    <t>Government Butt Mule</t>
  </si>
  <si>
    <t>Mario</t>
  </si>
  <si>
    <t>Casaus</t>
  </si>
  <si>
    <t>New Mexico</t>
  </si>
  <si>
    <t>President</t>
  </si>
  <si>
    <t>Greesy Pull</t>
  </si>
  <si>
    <t>Michael</t>
  </si>
  <si>
    <t>Sisneros</t>
  </si>
  <si>
    <t>Gringo Starr</t>
  </si>
  <si>
    <t>Roland</t>
  </si>
  <si>
    <t>Rodriguez</t>
  </si>
  <si>
    <t>Grumpy</t>
  </si>
  <si>
    <t>Chris</t>
  </si>
  <si>
    <t>Hopkinson</t>
  </si>
  <si>
    <t>California</t>
  </si>
  <si>
    <t>grumpy</t>
  </si>
  <si>
    <t>Guns Lightning</t>
  </si>
  <si>
    <t>Jeremy</t>
  </si>
  <si>
    <t>Jacobson</t>
  </si>
  <si>
    <t>Guttereagle Stabmaster</t>
  </si>
  <si>
    <t>Joshua</t>
  </si>
  <si>
    <t>Stevens</t>
  </si>
  <si>
    <t>Hairy Toddler</t>
  </si>
  <si>
    <t>Spencer</t>
  </si>
  <si>
    <t>Cary</t>
  </si>
  <si>
    <t>Half Rock</t>
  </si>
  <si>
    <t>Austin</t>
  </si>
  <si>
    <t>Leo</t>
  </si>
  <si>
    <t>Hall Pass</t>
  </si>
  <si>
    <t>Shaun</t>
  </si>
  <si>
    <t>Hansen</t>
  </si>
  <si>
    <t>HammerFang</t>
  </si>
  <si>
    <t>Adam</t>
  </si>
  <si>
    <t>Freeman</t>
  </si>
  <si>
    <t>Georgia</t>
  </si>
  <si>
    <t>President</t>
  </si>
  <si>
    <t>Hanoi Cocks</t>
  </si>
  <si>
    <t>Michael</t>
  </si>
  <si>
    <t>Monroe</t>
  </si>
  <si>
    <t>Harry Poppins</t>
  </si>
  <si>
    <t>Josh</t>
  </si>
  <si>
    <t>Krupenny</t>
  </si>
  <si>
    <t>Minnesota</t>
  </si>
  <si>
    <t>Hauley Shore</t>
  </si>
  <si>
    <t>Jamie</t>
  </si>
  <si>
    <t>York</t>
  </si>
  <si>
    <t>Hawk Pusscatrof</t>
  </si>
  <si>
    <t>Allan (AJ)</t>
  </si>
  <si>
    <t>Dyson</t>
  </si>
  <si>
    <t>Ontario</t>
  </si>
  <si>
    <t>Heavy Fingering</t>
  </si>
  <si>
    <t>Carrie</t>
  </si>
  <si>
    <t>Pettit</t>
  </si>
  <si>
    <t>Heiney Heiney Ass Butt</t>
  </si>
  <si>
    <t>Alan</t>
  </si>
  <si>
    <t>Cheek</t>
  </si>
  <si>
    <t>Montana</t>
  </si>
  <si>
    <t>Helicopter Plastic</t>
  </si>
  <si>
    <t>Dustin</t>
  </si>
  <si>
    <t>Mykyte</t>
  </si>
  <si>
    <t>Hell Awaits</t>
  </si>
  <si>
    <t>Mandy</t>
  </si>
  <si>
    <t>Riese</t>
  </si>
  <si>
    <t>Saskatchewan</t>
  </si>
  <si>
    <t>First Lady</t>
  </si>
  <si>
    <t>Heywood Yafistme</t>
  </si>
  <si>
    <t>Wade</t>
  </si>
  <si>
    <t>Schedlosky</t>
  </si>
  <si>
    <t>Hi-Speed Masturbate</t>
  </si>
  <si>
    <t>Liam</t>
  </si>
  <si>
    <t>Waite</t>
  </si>
  <si>
    <t>High Planes Drifter</t>
  </si>
  <si>
    <t>Jonathan</t>
  </si>
  <si>
    <t>Reid</t>
  </si>
  <si>
    <t>Arizona</t>
  </si>
  <si>
    <t>Hiney Tim</t>
  </si>
  <si>
    <t>Christian</t>
  </si>
  <si>
    <t>Haney</t>
  </si>
  <si>
    <t>Hippy Speedball</t>
  </si>
  <si>
    <t>Brandon</t>
  </si>
  <si>
    <t>Landry</t>
  </si>
  <si>
    <t>Home Alone</t>
  </si>
  <si>
    <t>Adam</t>
  </si>
  <si>
    <t>Malone</t>
  </si>
  <si>
    <t>Homerage Butt</t>
  </si>
  <si>
    <t>Geoff</t>
  </si>
  <si>
    <t>Nagle</t>
  </si>
  <si>
    <t>Homo Butt Thumper 3rd</t>
  </si>
  <si>
    <t>Dean</t>
  </si>
  <si>
    <t>Tkachuk</t>
  </si>
  <si>
    <t>Homo Red Dragon</t>
  </si>
  <si>
    <t>Rob</t>
  </si>
  <si>
    <t>Larson</t>
  </si>
  <si>
    <t>Hot Dog</t>
  </si>
  <si>
    <t>Nate</t>
  </si>
  <si>
    <t>Pearo</t>
  </si>
  <si>
    <t>California</t>
  </si>
  <si>
    <t>Serf</t>
  </si>
  <si>
    <t>2014 TJES Intern</t>
  </si>
  <si>
    <t>Hot Dog Enthusiast</t>
  </si>
  <si>
    <t>David</t>
  </si>
  <si>
    <t>Pinardi</t>
  </si>
  <si>
    <t>Hot Dog Rapist</t>
  </si>
  <si>
    <t>Gerrit</t>
  </si>
  <si>
    <t>Johnson</t>
  </si>
  <si>
    <t>Hotbox</t>
  </si>
  <si>
    <t>Justin</t>
  </si>
  <si>
    <t>Kapp</t>
  </si>
  <si>
    <t>Hotdog Flagman</t>
  </si>
  <si>
    <t>Spencer</t>
  </si>
  <si>
    <t>M</t>
  </si>
  <si>
    <t>Howard Sterwason</t>
  </si>
  <si>
    <t>Brent</t>
  </si>
  <si>
    <t>Jellison</t>
  </si>
  <si>
    <t>Huge Muffler</t>
  </si>
  <si>
    <t>Michael</t>
  </si>
  <si>
    <t>Ortegon</t>
  </si>
  <si>
    <t>Huge Tits</t>
  </si>
  <si>
    <t>Dan</t>
  </si>
  <si>
    <t>Dubrule</t>
  </si>
  <si>
    <t>Hyena Fist</t>
  </si>
  <si>
    <t>Steve</t>
  </si>
  <si>
    <t>Cobern</t>
  </si>
  <si>
    <t>Virginia</t>
  </si>
  <si>
    <t>SteveCobern</t>
  </si>
  <si>
    <t>I Eat People</t>
  </si>
  <si>
    <t>Tanner Layne</t>
  </si>
  <si>
    <t>Chadwick</t>
  </si>
  <si>
    <t>I'm Not Your Wad</t>
  </si>
  <si>
    <t>Chuck</t>
  </si>
  <si>
    <t>Spry</t>
  </si>
  <si>
    <t>Alberta</t>
  </si>
  <si>
    <t>spryguy</t>
  </si>
  <si>
    <t>Illegal Beefstorm</t>
  </si>
  <si>
    <t>Kacy Kover</t>
  </si>
  <si>
    <t>Dusek</t>
  </si>
  <si>
    <t>Insecure Vag</t>
  </si>
  <si>
    <t>Rick</t>
  </si>
  <si>
    <t>Power</t>
  </si>
  <si>
    <t>Inspector Log</t>
  </si>
  <si>
    <t>Ryley</t>
  </si>
  <si>
    <t>Ward</t>
  </si>
  <si>
    <t>Irish Dude</t>
  </si>
  <si>
    <t>Kellie</t>
  </si>
  <si>
    <t>Valdez</t>
  </si>
  <si>
    <t>Arizona</t>
  </si>
  <si>
    <t>Queen of the Fam</t>
  </si>
  <si>
    <t>Irish Fuckpuppet</t>
  </si>
  <si>
    <t>Collin</t>
  </si>
  <si>
    <t>Thompson</t>
  </si>
  <si>
    <t>Iron Sharknife</t>
  </si>
  <si>
    <t>Joel</t>
  </si>
  <si>
    <t>Smith</t>
  </si>
  <si>
    <t>Jack Of All Gays</t>
  </si>
  <si>
    <t>Jason</t>
  </si>
  <si>
    <t>Curzon</t>
  </si>
  <si>
    <t>James Vaginabeak</t>
  </si>
  <si>
    <t>Chris</t>
  </si>
  <si>
    <t>Vanderwiel</t>
  </si>
  <si>
    <t>Jaws of Death</t>
  </si>
  <si>
    <t>Bryant</t>
  </si>
  <si>
    <t>Sanderson</t>
  </si>
  <si>
    <t>Texas</t>
  </si>
  <si>
    <t>Jesus Bloodload</t>
  </si>
  <si>
    <t>Rob</t>
  </si>
  <si>
    <t>MacAdam</t>
  </si>
  <si>
    <t>Jesus Fuckin' Christ</t>
  </si>
  <si>
    <t>Colin</t>
  </si>
  <si>
    <t>Blyth</t>
  </si>
  <si>
    <t>Jetta</t>
  </si>
  <si>
    <t>Sean</t>
  </si>
  <si>
    <t>Visser</t>
  </si>
  <si>
    <t>California</t>
  </si>
  <si>
    <t>seanvisser4</t>
  </si>
  <si>
    <t>2013 TJES Intern</t>
  </si>
  <si>
    <t>Jimmy Lee Rutabar</t>
  </si>
  <si>
    <t>Lee</t>
  </si>
  <si>
    <t>Evans</t>
  </si>
  <si>
    <t>Jism Wrangler</t>
  </si>
  <si>
    <t>Lee</t>
  </si>
  <si>
    <t>Bunting</t>
  </si>
  <si>
    <t>Michigan</t>
  </si>
  <si>
    <t>DizmWrangler</t>
  </si>
  <si>
    <t>Jizz Cult</t>
  </si>
  <si>
    <t>Wilson</t>
  </si>
  <si>
    <t>Pendarvis</t>
  </si>
  <si>
    <t>California</t>
  </si>
  <si>
    <t>Pendarvis</t>
  </si>
  <si>
    <t>Knight</t>
  </si>
  <si>
    <t>Jizz Hungry Jimmy</t>
  </si>
  <si>
    <t>Justin</t>
  </si>
  <si>
    <t>Lloyd</t>
  </si>
  <si>
    <t>Jizz Rapist</t>
  </si>
  <si>
    <t>JR</t>
  </si>
  <si>
    <t>Rebo</t>
  </si>
  <si>
    <t>John In Houston</t>
  </si>
  <si>
    <t>John</t>
  </si>
  <si>
    <t>McGovern</t>
  </si>
  <si>
    <t>Texas</t>
  </si>
  <si>
    <t>JohnMcG</t>
  </si>
  <si>
    <t>President</t>
  </si>
  <si>
    <t>John Von Boner</t>
  </si>
  <si>
    <t>John</t>
  </si>
  <si>
    <t>Holthusen</t>
  </si>
  <si>
    <t>John Wayne Hobbit</t>
  </si>
  <si>
    <t>Josh</t>
  </si>
  <si>
    <t>Goldring</t>
  </si>
  <si>
    <t>Johnny Johnny Fuck Fuck</t>
  </si>
  <si>
    <t>Jonny</t>
  </si>
  <si>
    <t>Galindo</t>
  </si>
  <si>
    <t>Joshua Tree Jeffrey</t>
  </si>
  <si>
    <t>Joshua Lee</t>
  </si>
  <si>
    <t>Jeffrey</t>
  </si>
  <si>
    <t>Jr Jr The Third</t>
  </si>
  <si>
    <t>Clinton</t>
  </si>
  <si>
    <t>Birch III</t>
  </si>
  <si>
    <t>Juice Hooker</t>
  </si>
  <si>
    <t>Jesse</t>
  </si>
  <si>
    <t>Tedford</t>
  </si>
  <si>
    <t>Junkyard Hog</t>
  </si>
  <si>
    <t>Brian</t>
  </si>
  <si>
    <t>Hooper</t>
  </si>
  <si>
    <t>K-Hole</t>
  </si>
  <si>
    <t>Kellie</t>
  </si>
  <si>
    <t>Wereschuk</t>
  </si>
  <si>
    <t>British Columbia</t>
  </si>
  <si>
    <t>Kill Kill Kill</t>
  </si>
  <si>
    <t>Ryan</t>
  </si>
  <si>
    <t>Killian</t>
  </si>
  <si>
    <t>Kojack</t>
  </si>
  <si>
    <t>Edward</t>
  </si>
  <si>
    <t>Talley</t>
  </si>
  <si>
    <t>Kyron Pepper</t>
  </si>
  <si>
    <t>Kyron</t>
  </si>
  <si>
    <t>Eberle</t>
  </si>
  <si>
    <t>La Vag Di Mor</t>
  </si>
  <si>
    <t>Destiny</t>
  </si>
  <si>
    <t>Shields</t>
  </si>
  <si>
    <t>Lance Arm Queef</t>
  </si>
  <si>
    <t>Lance</t>
  </si>
  <si>
    <t>Piffero</t>
  </si>
  <si>
    <t>Large Dick Johnson</t>
  </si>
  <si>
    <t>Jason</t>
  </si>
  <si>
    <t>VanKilsdonk</t>
  </si>
  <si>
    <t>Arizona</t>
  </si>
  <si>
    <t>Vice President</t>
  </si>
  <si>
    <t>Larry Birdshit</t>
  </si>
  <si>
    <t>Paul</t>
  </si>
  <si>
    <t>Maloof</t>
  </si>
  <si>
    <t>Massachusetts</t>
  </si>
  <si>
    <t>President</t>
  </si>
  <si>
    <t>Legroom</t>
  </si>
  <si>
    <t>Peter</t>
  </si>
  <si>
    <t>Ruiz</t>
  </si>
  <si>
    <t>Lick Dickson</t>
  </si>
  <si>
    <t>Casey</t>
  </si>
  <si>
    <t>Morgan</t>
  </si>
  <si>
    <t>Lightning Tampon Sucker</t>
  </si>
  <si>
    <t>Ross</t>
  </si>
  <si>
    <t>MacRae</t>
  </si>
  <si>
    <t>Lil' Miss Ellis</t>
  </si>
  <si>
    <t>Jason</t>
  </si>
  <si>
    <t>Kutno</t>
  </si>
  <si>
    <t>California</t>
  </si>
  <si>
    <t>LilMissEllis</t>
  </si>
  <si>
    <t>First Mistress</t>
  </si>
  <si>
    <t>1st Lil' Miss Ellis (2013)</t>
  </si>
  <si>
    <t>Little Joe</t>
  </si>
  <si>
    <t>Brian</t>
  </si>
  <si>
    <t>Finzer</t>
  </si>
  <si>
    <t>Load Explosion</t>
  </si>
  <si>
    <t>Jay</t>
  </si>
  <si>
    <t>Nelson</t>
  </si>
  <si>
    <t>Lognuts</t>
  </si>
  <si>
    <t>Scott</t>
  </si>
  <si>
    <t>Sullivan</t>
  </si>
  <si>
    <t>Lonely Windicks</t>
  </si>
  <si>
    <t>Cole</t>
  </si>
  <si>
    <t>Mysko</t>
  </si>
  <si>
    <t>Long Island Lolita</t>
  </si>
  <si>
    <t>Josh</t>
  </si>
  <si>
    <t>Fisher</t>
  </si>
  <si>
    <t>Loogie Hauser</t>
  </si>
  <si>
    <t>Logan</t>
  </si>
  <si>
    <t>Schaub</t>
  </si>
  <si>
    <t>Lord Of Laptops</t>
  </si>
  <si>
    <t>Michael</t>
  </si>
  <si>
    <t>Grace</t>
  </si>
  <si>
    <t>Low Carb Andy</t>
  </si>
  <si>
    <t>Andrew</t>
  </si>
  <si>
    <t>Adkins</t>
  </si>
  <si>
    <t>Lube Cheetos</t>
  </si>
  <si>
    <t>Nathan</t>
  </si>
  <si>
    <t>Bowden</t>
  </si>
  <si>
    <t>Lube Eagle</t>
  </si>
  <si>
    <t>Andrew</t>
  </si>
  <si>
    <t>Fahrion</t>
  </si>
  <si>
    <t>Lube Slickback</t>
  </si>
  <si>
    <t>Chris</t>
  </si>
  <si>
    <t>Edmundson</t>
  </si>
  <si>
    <t>Lube Suit</t>
  </si>
  <si>
    <t>Blair</t>
  </si>
  <si>
    <t>Holierhoek</t>
  </si>
  <si>
    <t>Luggy Hauser</t>
  </si>
  <si>
    <t>Logan A</t>
  </si>
  <si>
    <t>Mullen</t>
  </si>
  <si>
    <t>Luke Gayfucker</t>
  </si>
  <si>
    <t>Luke</t>
  </si>
  <si>
    <t>Rounds</t>
  </si>
  <si>
    <t>Macordian</t>
  </si>
  <si>
    <t>Tony</t>
  </si>
  <si>
    <t>McCord</t>
  </si>
  <si>
    <t>Ohio</t>
  </si>
  <si>
    <t>biscuittm</t>
  </si>
  <si>
    <t>Maggot Boy (From Maggot Creek)</t>
  </si>
  <si>
    <t>Neil</t>
  </si>
  <si>
    <t>Ross</t>
  </si>
  <si>
    <t>Maggot Creek</t>
  </si>
  <si>
    <t>Magnus Magnuson</t>
  </si>
  <si>
    <t>Kyle</t>
  </si>
  <si>
    <t>Doerksen</t>
  </si>
  <si>
    <t>Maneater</t>
  </si>
  <si>
    <t>Seth</t>
  </si>
  <si>
    <t>Gravdahl</t>
  </si>
  <si>
    <t>Maple Beav</t>
  </si>
  <si>
    <t>Jennifer</t>
  </si>
  <si>
    <t>Mclean</t>
  </si>
  <si>
    <t>Marky Mark</t>
  </si>
  <si>
    <t>Nate</t>
  </si>
  <si>
    <t>Phillips</t>
  </si>
  <si>
    <t>Illinois</t>
  </si>
  <si>
    <t>VioletShadow</t>
  </si>
  <si>
    <t>President</t>
  </si>
  <si>
    <t>Matmonster</t>
  </si>
  <si>
    <t>Keith</t>
  </si>
  <si>
    <t>Matthews</t>
  </si>
  <si>
    <t>Tennessee</t>
  </si>
  <si>
    <t>Matmonster</t>
  </si>
  <si>
    <t>MC Funbags</t>
  </si>
  <si>
    <t>Mike</t>
  </si>
  <si>
    <t>Ackles</t>
  </si>
  <si>
    <t>Meatpie</t>
  </si>
  <si>
    <t>Will</t>
  </si>
  <si>
    <t>Baker</t>
  </si>
  <si>
    <t>California</t>
  </si>
  <si>
    <t>meatovich</t>
  </si>
  <si>
    <t>Mech &amp; Cheese</t>
  </si>
  <si>
    <t>Tyson</t>
  </si>
  <si>
    <t>Kochan</t>
  </si>
  <si>
    <t>Medium Sized Tranny</t>
  </si>
  <si>
    <t>David</t>
  </si>
  <si>
    <t>Wourms</t>
  </si>
  <si>
    <t>Meow Felch</t>
  </si>
  <si>
    <t>Cam</t>
  </si>
  <si>
    <t>Strey</t>
  </si>
  <si>
    <t>Meryl Streep</t>
  </si>
  <si>
    <t>Scott</t>
  </si>
  <si>
    <t>Malone</t>
  </si>
  <si>
    <t>Oregon</t>
  </si>
  <si>
    <t>scottsriverbound</t>
  </si>
  <si>
    <t>Michael Felch</t>
  </si>
  <si>
    <t>Gabriel</t>
  </si>
  <si>
    <t>Guardarramas</t>
  </si>
  <si>
    <t>Michael Shitlips</t>
  </si>
  <si>
    <t>Coby</t>
  </si>
  <si>
    <t>Shields</t>
  </si>
  <si>
    <t>Miguel Gorbachev</t>
  </si>
  <si>
    <t>Miguel (Mike)</t>
  </si>
  <si>
    <t>Nevarez</t>
  </si>
  <si>
    <t>Texas</t>
  </si>
  <si>
    <t>mikenevarez214</t>
  </si>
  <si>
    <t>Mike Hawk</t>
  </si>
  <si>
    <t>Jay</t>
  </si>
  <si>
    <t>Roberts</t>
  </si>
  <si>
    <t>Mike In Canada</t>
  </si>
  <si>
    <t>Mike</t>
  </si>
  <si>
    <t>Alberta</t>
  </si>
  <si>
    <t>MikeCanada</t>
  </si>
  <si>
    <t>Prime Minister</t>
  </si>
  <si>
    <t>Milfucker</t>
  </si>
  <si>
    <t>Joshua</t>
  </si>
  <si>
    <t>Thompson</t>
  </si>
  <si>
    <t>Monkey Cunt</t>
  </si>
  <si>
    <t>Tim</t>
  </si>
  <si>
    <t>Grazier</t>
  </si>
  <si>
    <t>Manitoba</t>
  </si>
  <si>
    <t>Prime Minister</t>
  </si>
  <si>
    <t>Moose Smutplay</t>
  </si>
  <si>
    <t>Jeff</t>
  </si>
  <si>
    <t>Waddle</t>
  </si>
  <si>
    <t>Mr. Chick</t>
  </si>
  <si>
    <t>Brady</t>
  </si>
  <si>
    <t>Courtney</t>
  </si>
  <si>
    <t>Mr. Fister</t>
  </si>
  <si>
    <t>Jared</t>
  </si>
  <si>
    <t>Gibbs</t>
  </si>
  <si>
    <t>Utah</t>
  </si>
  <si>
    <t>President</t>
  </si>
  <si>
    <t>Mr. Fuzzy Bottom</t>
  </si>
  <si>
    <t>Justin</t>
  </si>
  <si>
    <t>Hollingsworth</t>
  </si>
  <si>
    <t>Mr. Wanker</t>
  </si>
  <si>
    <t>Patrick</t>
  </si>
  <si>
    <t>Baker</t>
  </si>
  <si>
    <t>Mr. Yeah</t>
  </si>
  <si>
    <t>Les</t>
  </si>
  <si>
    <t>McIvor</t>
  </si>
  <si>
    <t>Manitoba</t>
  </si>
  <si>
    <t>McKaI37</t>
  </si>
  <si>
    <t>Mrs. Bottom Fuzz</t>
  </si>
  <si>
    <t>Tessa</t>
  </si>
  <si>
    <t>Hollingsworth</t>
  </si>
  <si>
    <t>Mrs. Dudefire</t>
  </si>
  <si>
    <t>Paige</t>
  </si>
  <si>
    <t>Bourne</t>
  </si>
  <si>
    <t>paigebourne</t>
  </si>
  <si>
    <t>My Mom Is Hot</t>
  </si>
  <si>
    <t>Matt</t>
  </si>
  <si>
    <t>Anderson</t>
  </si>
  <si>
    <t>Colorado</t>
  </si>
  <si>
    <t>My Pretty Claw</t>
  </si>
  <si>
    <t>Cody</t>
  </si>
  <si>
    <t>Maddox</t>
  </si>
  <si>
    <t>Napalm Turd</t>
  </si>
  <si>
    <t>Dan</t>
  </si>
  <si>
    <t>Beecroft</t>
  </si>
  <si>
    <t>Nathan Dunn</t>
  </si>
  <si>
    <t>Dathan</t>
  </si>
  <si>
    <t>Nunn</t>
  </si>
  <si>
    <t>Neal Bob</t>
  </si>
  <si>
    <t>Robert</t>
  </si>
  <si>
    <t>Miles</t>
  </si>
  <si>
    <t>Neck Toddler</t>
  </si>
  <si>
    <t>Paul</t>
  </si>
  <si>
    <t>Berthot</t>
  </si>
  <si>
    <t>Needledick</t>
  </si>
  <si>
    <t>Mario</t>
  </si>
  <si>
    <t>Marquez</t>
  </si>
  <si>
    <t>Texas</t>
  </si>
  <si>
    <t>marqz</t>
  </si>
  <si>
    <t>Night Slut</t>
  </si>
  <si>
    <t>Nick</t>
  </si>
  <si>
    <t>Rossetti</t>
  </si>
  <si>
    <t>Nevada</t>
  </si>
  <si>
    <t>Vice President</t>
  </si>
  <si>
    <t>Ninja Flying Edgell</t>
  </si>
  <si>
    <t>Ethan</t>
  </si>
  <si>
    <t>Edgell</t>
  </si>
  <si>
    <t>Tennessee</t>
  </si>
  <si>
    <t>Nipplopolis</t>
  </si>
  <si>
    <t>Amy</t>
  </si>
  <si>
    <t>Reid</t>
  </si>
  <si>
    <t>Arizona</t>
  </si>
  <si>
    <t>nipplopolis</t>
  </si>
  <si>
    <t>First Lady</t>
  </si>
  <si>
    <t>Nobody's Listening</t>
  </si>
  <si>
    <t>Paul</t>
  </si>
  <si>
    <t>Malotke</t>
  </si>
  <si>
    <t>Ol' Scabby</t>
  </si>
  <si>
    <t>Eric</t>
  </si>
  <si>
    <t>Poirier</t>
  </si>
  <si>
    <t>Old Softee</t>
  </si>
  <si>
    <t>Ryland</t>
  </si>
  <si>
    <t>Rodman</t>
  </si>
  <si>
    <t>Omnipotent Anemone</t>
  </si>
  <si>
    <t>Nick</t>
  </si>
  <si>
    <t>Stene</t>
  </si>
  <si>
    <t>California</t>
  </si>
  <si>
    <t>One Girl Magoo</t>
  </si>
  <si>
    <t>Jeremy</t>
  </si>
  <si>
    <t>Gray</t>
  </si>
  <si>
    <t>Pennsylvania</t>
  </si>
  <si>
    <t>jgray8450</t>
  </si>
  <si>
    <t>Oscar de la Hoya</t>
  </si>
  <si>
    <t>Victor</t>
  </si>
  <si>
    <t>Villa</t>
  </si>
  <si>
    <t>Texas</t>
  </si>
  <si>
    <t>Overgrown SeaMonkey</t>
  </si>
  <si>
    <t>Jeff</t>
  </si>
  <si>
    <t>Haider</t>
  </si>
  <si>
    <t>North Dakota</t>
  </si>
  <si>
    <t>P Wad</t>
  </si>
  <si>
    <t>David</t>
  </si>
  <si>
    <t>Schweitz</t>
  </si>
  <si>
    <t>Arizona</t>
  </si>
  <si>
    <t>Schweitz</t>
  </si>
  <si>
    <t>Pablo Diablo</t>
  </si>
  <si>
    <t>Nic</t>
  </si>
  <si>
    <t>Casso</t>
  </si>
  <si>
    <t>Parasite Hilton</t>
  </si>
  <si>
    <t>Matt</t>
  </si>
  <si>
    <t>MacDonald</t>
  </si>
  <si>
    <t>Patrick Dumpsey</t>
  </si>
  <si>
    <t>Patrick</t>
  </si>
  <si>
    <t>Horgan</t>
  </si>
  <si>
    <t>Paul Balls</t>
  </si>
  <si>
    <t>Paul</t>
  </si>
  <si>
    <t>Coombs</t>
  </si>
  <si>
    <t>Pee Soup</t>
  </si>
  <si>
    <t>Nicole</t>
  </si>
  <si>
    <t>Edwards</t>
  </si>
  <si>
    <t>Pee Soup</t>
  </si>
  <si>
    <t>Nicole</t>
  </si>
  <si>
    <t>Edwards</t>
  </si>
  <si>
    <t>New Brunswick</t>
  </si>
  <si>
    <t>sdrawdeelocin</t>
  </si>
  <si>
    <t>First Lady</t>
  </si>
  <si>
    <t>Peeping Creep</t>
  </si>
  <si>
    <t>Christian</t>
  </si>
  <si>
    <t>Wendenburg</t>
  </si>
  <si>
    <t>Texas</t>
  </si>
  <si>
    <t>Penis Shins</t>
  </si>
  <si>
    <t>Adam</t>
  </si>
  <si>
    <t>Porozni</t>
  </si>
  <si>
    <t>Period Boogers</t>
  </si>
  <si>
    <t>Alan</t>
  </si>
  <si>
    <t>Tamplin</t>
  </si>
  <si>
    <t>Phat Albert</t>
  </si>
  <si>
    <t>Al</t>
  </si>
  <si>
    <t>Berthiaume</t>
  </si>
  <si>
    <t>Ontario</t>
  </si>
  <si>
    <t>Phil Anthropist</t>
  </si>
  <si>
    <t>Peter</t>
  </si>
  <si>
    <t>Goertzen</t>
  </si>
  <si>
    <t>Phil My Ass In With Dicks</t>
  </si>
  <si>
    <t>Phil</t>
  </si>
  <si>
    <t>Dauphinee</t>
  </si>
  <si>
    <t>British Columbia</t>
  </si>
  <si>
    <t>Phillybobb</t>
  </si>
  <si>
    <t>Robert</t>
  </si>
  <si>
    <t>S</t>
  </si>
  <si>
    <t>Ping Pong Glowstick</t>
  </si>
  <si>
    <t>Brody</t>
  </si>
  <si>
    <t>Peck</t>
  </si>
  <si>
    <t>Pink Power Ranger</t>
  </si>
  <si>
    <t>Todd</t>
  </si>
  <si>
    <t>Alamo</t>
  </si>
  <si>
    <t>Washington</t>
  </si>
  <si>
    <t>alamoaz</t>
  </si>
  <si>
    <t>Piss Fart</t>
  </si>
  <si>
    <t>Aaron</t>
  </si>
  <si>
    <t>Hust</t>
  </si>
  <si>
    <t>Pissburger</t>
  </si>
  <si>
    <t>AJ</t>
  </si>
  <si>
    <t>LaBelle</t>
  </si>
  <si>
    <t>Pittsburger LadyBoy</t>
  </si>
  <si>
    <t>Nick</t>
  </si>
  <si>
    <t>Bernardi</t>
  </si>
  <si>
    <t>Pluck Liddell</t>
  </si>
  <si>
    <t>Dan</t>
  </si>
  <si>
    <t>Doughty</t>
  </si>
  <si>
    <t>Polish Dinosaur</t>
  </si>
  <si>
    <t>Martin</t>
  </si>
  <si>
    <t>Broniszeski</t>
  </si>
  <si>
    <t>Poo Enthusiast</t>
  </si>
  <si>
    <t>Jason</t>
  </si>
  <si>
    <t>Behnke</t>
  </si>
  <si>
    <t>California</t>
  </si>
  <si>
    <t>Poo Fingers McGee</t>
  </si>
  <si>
    <t>Chris</t>
  </si>
  <si>
    <t>Ackerman</t>
  </si>
  <si>
    <t>Pool Hogan</t>
  </si>
  <si>
    <t>Shane</t>
  </si>
  <si>
    <t>Sawdon</t>
  </si>
  <si>
    <t>Poor Bastard</t>
  </si>
  <si>
    <t>Ben</t>
  </si>
  <si>
    <t>McMillan</t>
  </si>
  <si>
    <t>British Columbia</t>
  </si>
  <si>
    <t>dub97gt</t>
  </si>
  <si>
    <t>Poor Man's Gary Coleman</t>
  </si>
  <si>
    <t>Josh</t>
  </si>
  <si>
    <t>Webster</t>
  </si>
  <si>
    <t>Pope Lucifer The Third</t>
  </si>
  <si>
    <t>Chris</t>
  </si>
  <si>
    <t>Walker</t>
  </si>
  <si>
    <t>Indiana</t>
  </si>
  <si>
    <t>PopeLucifer3</t>
  </si>
  <si>
    <t>Portuguese Nipple</t>
  </si>
  <si>
    <t>Ty</t>
  </si>
  <si>
    <t>Frederick</t>
  </si>
  <si>
    <t>Pot Blocker</t>
  </si>
  <si>
    <t>Stephen</t>
  </si>
  <si>
    <t>Kelly</t>
  </si>
  <si>
    <t>Pre Cum</t>
  </si>
  <si>
    <t>Michael</t>
  </si>
  <si>
    <t>Porter</t>
  </si>
  <si>
    <t>Predator Magnum</t>
  </si>
  <si>
    <t>Jon</t>
  </si>
  <si>
    <t>White</t>
  </si>
  <si>
    <t>Premium Sack</t>
  </si>
  <si>
    <t>Brian</t>
  </si>
  <si>
    <t>Davis</t>
  </si>
  <si>
    <t>President Death</t>
  </si>
  <si>
    <t>Mason</t>
  </si>
  <si>
    <t>Kay</t>
  </si>
  <si>
    <t>Texas</t>
  </si>
  <si>
    <t>President Squatch</t>
  </si>
  <si>
    <t>Justin</t>
  </si>
  <si>
    <t>Duke</t>
  </si>
  <si>
    <t>Pretty Shit</t>
  </si>
  <si>
    <t>Julie</t>
  </si>
  <si>
    <t>Anderson</t>
  </si>
  <si>
    <t>Prickle Knob</t>
  </si>
  <si>
    <t>Andrew</t>
  </si>
  <si>
    <t>Jonz</t>
  </si>
  <si>
    <t>Prime Minister Big Tits</t>
  </si>
  <si>
    <t>Ted</t>
  </si>
  <si>
    <t>Walker</t>
  </si>
  <si>
    <t>Wyoming</t>
  </si>
  <si>
    <t>Princess Gonorrhea</t>
  </si>
  <si>
    <t>Brittan</t>
  </si>
  <si>
    <t>Hussing</t>
  </si>
  <si>
    <t>Pterodactyl Tits</t>
  </si>
  <si>
    <t>Brendan</t>
  </si>
  <si>
    <t>Baker</t>
  </si>
  <si>
    <t>Pube Mucus</t>
  </si>
  <si>
    <t>Chris</t>
  </si>
  <si>
    <t>McLellan</t>
  </si>
  <si>
    <t>Publick Enemy Numero Uno</t>
  </si>
  <si>
    <t>Erik</t>
  </si>
  <si>
    <t>Capwell</t>
  </si>
  <si>
    <t>Puppetmaster</t>
  </si>
  <si>
    <t>Jason</t>
  </si>
  <si>
    <t>H</t>
  </si>
  <si>
    <t>Georgia</t>
  </si>
  <si>
    <t>Puppy Hitler</t>
  </si>
  <si>
    <t>Joshua</t>
  </si>
  <si>
    <t>Bowie</t>
  </si>
  <si>
    <t>Purple Belt</t>
  </si>
  <si>
    <t>Jacob</t>
  </si>
  <si>
    <t>Kurtz</t>
  </si>
  <si>
    <t>Pusherman</t>
  </si>
  <si>
    <t>David</t>
  </si>
  <si>
    <t>Jaekel</t>
  </si>
  <si>
    <t>California</t>
  </si>
  <si>
    <t>Pussy Gills</t>
  </si>
  <si>
    <t>Rick</t>
  </si>
  <si>
    <t>Fothergill</t>
  </si>
  <si>
    <t>Pussy Vag</t>
  </si>
  <si>
    <t>Jay</t>
  </si>
  <si>
    <t>Murphy</t>
  </si>
  <si>
    <t>Nova Scotia</t>
  </si>
  <si>
    <t>Prime Minister</t>
  </si>
  <si>
    <t>Queef Garret</t>
  </si>
  <si>
    <t>Jewel</t>
  </si>
  <si>
    <t>McKeon</t>
  </si>
  <si>
    <t>Queef Jardine</t>
  </si>
  <si>
    <t>Adam</t>
  </si>
  <si>
    <t>Ellis</t>
  </si>
  <si>
    <t>Queef Latina</t>
  </si>
  <si>
    <t>Seth</t>
  </si>
  <si>
    <t>Sandwick</t>
  </si>
  <si>
    <t>Queef Richards</t>
  </si>
  <si>
    <t>Bailey</t>
  </si>
  <si>
    <t>Johnson</t>
  </si>
  <si>
    <t>Saskatchewan</t>
  </si>
  <si>
    <t>Queef Rippington</t>
  </si>
  <si>
    <t>Clint</t>
  </si>
  <si>
    <t>Martin</t>
  </si>
  <si>
    <t>Rachel Felch</t>
  </si>
  <si>
    <t>Tim</t>
  </si>
  <si>
    <t>Urban</t>
  </si>
  <si>
    <t>Racist Biceps</t>
  </si>
  <si>
    <t>Chevy</t>
  </si>
  <si>
    <t>Cawlfield</t>
  </si>
  <si>
    <t>Radio Behm</t>
  </si>
  <si>
    <t>Steven</t>
  </si>
  <si>
    <t>Behm</t>
  </si>
  <si>
    <t>Rainman</t>
  </si>
  <si>
    <t>Nick</t>
  </si>
  <si>
    <t>Raines</t>
  </si>
  <si>
    <t>Washington</t>
  </si>
  <si>
    <t>RainmanN</t>
  </si>
  <si>
    <t>President</t>
  </si>
  <si>
    <t>Rancid Splooge</t>
  </si>
  <si>
    <t>Sammi</t>
  </si>
  <si>
    <t>Krupenny</t>
  </si>
  <si>
    <t>Minnesota</t>
  </si>
  <si>
    <t>Raw Dog</t>
  </si>
  <si>
    <t>Josh</t>
  </si>
  <si>
    <t>Richmond</t>
  </si>
  <si>
    <t>California</t>
  </si>
  <si>
    <t>Illusionist</t>
  </si>
  <si>
    <t>Rawdogg's Sexy Sister</t>
  </si>
  <si>
    <t>AJ</t>
  </si>
  <si>
    <t>Slagan</t>
  </si>
  <si>
    <t>California</t>
  </si>
  <si>
    <t>LordKaos</t>
  </si>
  <si>
    <t>Real Housewife</t>
  </si>
  <si>
    <t>Craig</t>
  </si>
  <si>
    <t>Morgan</t>
  </si>
  <si>
    <t>Reverse Poo Davis</t>
  </si>
  <si>
    <t>Artem</t>
  </si>
  <si>
    <t>Larionov</t>
  </si>
  <si>
    <t>Rich Booty</t>
  </si>
  <si>
    <t>Will</t>
  </si>
  <si>
    <t>McGregor</t>
  </si>
  <si>
    <t>Rick Fox's Cumrag</t>
  </si>
  <si>
    <t>Jorie</t>
  </si>
  <si>
    <t>Halcro</t>
  </si>
  <si>
    <t>Saskatchewan</t>
  </si>
  <si>
    <t>Rickie Dick</t>
  </si>
  <si>
    <t>Dave</t>
  </si>
  <si>
    <t>Davidson</t>
  </si>
  <si>
    <t>Ricky Bobby</t>
  </si>
  <si>
    <t>James</t>
  </si>
  <si>
    <t>Bryan</t>
  </si>
  <si>
    <t>Rigo Morty Freedman</t>
  </si>
  <si>
    <t>Alex</t>
  </si>
  <si>
    <t>Avila</t>
  </si>
  <si>
    <t>Robowhipped</t>
  </si>
  <si>
    <t>Ryan</t>
  </si>
  <si>
    <t>Zurborg</t>
  </si>
  <si>
    <t>Rocket Corn</t>
  </si>
  <si>
    <t>Josh</t>
  </si>
  <si>
    <t>Marshall</t>
  </si>
  <si>
    <t>Ron Artesticles</t>
  </si>
  <si>
    <t>Jesse</t>
  </si>
  <si>
    <t>Prebula</t>
  </si>
  <si>
    <t>Michigan</t>
  </si>
  <si>
    <t>Rubber Dinero</t>
  </si>
  <si>
    <t>Geoff</t>
  </si>
  <si>
    <t>Hanson</t>
  </si>
  <si>
    <t>Rude Chode</t>
  </si>
  <si>
    <t>Chad</t>
  </si>
  <si>
    <t>Miller</t>
  </si>
  <si>
    <t>Russian Whore Fucker</t>
  </si>
  <si>
    <t>Curt</t>
  </si>
  <si>
    <t>H</t>
  </si>
  <si>
    <t>California</t>
  </si>
  <si>
    <t>Ryan Bunghole</t>
  </si>
  <si>
    <t>Ryan</t>
  </si>
  <si>
    <t>Kasper</t>
  </si>
  <si>
    <t>Colorado</t>
  </si>
  <si>
    <t>rvkasper</t>
  </si>
  <si>
    <t>Ryan Johnquist</t>
  </si>
  <si>
    <t>John</t>
  </si>
  <si>
    <t>Quist</t>
  </si>
  <si>
    <t>Ryan Shitler</t>
  </si>
  <si>
    <t>Rob</t>
  </si>
  <si>
    <t>Turgeon</t>
  </si>
  <si>
    <t>Sack Johnson</t>
  </si>
  <si>
    <t>Derek</t>
  </si>
  <si>
    <t>Johnson</t>
  </si>
  <si>
    <t>Salty Pete</t>
  </si>
  <si>
    <t>Steven</t>
  </si>
  <si>
    <t>Sasquatch Doctor</t>
  </si>
  <si>
    <t>Devin</t>
  </si>
  <si>
    <t>Brenner</t>
  </si>
  <si>
    <t>Satan's Ballbag</t>
  </si>
  <si>
    <t>Jordan</t>
  </si>
  <si>
    <t>Davis</t>
  </si>
  <si>
    <t>Satanic Bull Rape</t>
  </si>
  <si>
    <t>Tim</t>
  </si>
  <si>
    <t>Jackson</t>
  </si>
  <si>
    <t>Saved By The Balls</t>
  </si>
  <si>
    <t>Malcom</t>
  </si>
  <si>
    <t>Belding</t>
  </si>
  <si>
    <t>Scabby 2 Dope</t>
  </si>
  <si>
    <t>Sterling Miles</t>
  </si>
  <si>
    <t>Thayse</t>
  </si>
  <si>
    <t>Scabracadabra</t>
  </si>
  <si>
    <t>David</t>
  </si>
  <si>
    <t>T</t>
  </si>
  <si>
    <t>Connecticut</t>
  </si>
  <si>
    <t>Majin</t>
  </si>
  <si>
    <t>Scleroshima</t>
  </si>
  <si>
    <t>Kevin</t>
  </si>
  <si>
    <t>Dick</t>
  </si>
  <si>
    <t>Scott Stapp</t>
  </si>
  <si>
    <t>Keith</t>
  </si>
  <si>
    <t>May</t>
  </si>
  <si>
    <t>Nebraska</t>
  </si>
  <si>
    <t>President</t>
  </si>
  <si>
    <t>Scuba Gooding Jr.</t>
  </si>
  <si>
    <t>Tom</t>
  </si>
  <si>
    <t>S</t>
  </si>
  <si>
    <t>California</t>
  </si>
  <si>
    <t>Tom2953051</t>
  </si>
  <si>
    <t>Sean Ball Gaultier</t>
  </si>
  <si>
    <t>Sean</t>
  </si>
  <si>
    <t>Ball</t>
  </si>
  <si>
    <t>Semen Segal</t>
  </si>
  <si>
    <t>Adam</t>
  </si>
  <si>
    <t>Fry</t>
  </si>
  <si>
    <t>Alberta</t>
  </si>
  <si>
    <t>Minister of Defense</t>
  </si>
  <si>
    <t>Sexual Bowling Ball</t>
  </si>
  <si>
    <t>Emily</t>
  </si>
  <si>
    <t>Hollister</t>
  </si>
  <si>
    <t>California</t>
  </si>
  <si>
    <t>STDNewsChick</t>
  </si>
  <si>
    <t>First Lady</t>
  </si>
  <si>
    <t>Sgt. LaDouche</t>
  </si>
  <si>
    <t>Rory</t>
  </si>
  <si>
    <t>LaDuke</t>
  </si>
  <si>
    <t>Sgt. Log Potty</t>
  </si>
  <si>
    <t>Taylor</t>
  </si>
  <si>
    <t>Huckfeldt</t>
  </si>
  <si>
    <t>Sgt. Shitbag</t>
  </si>
  <si>
    <t>Michael</t>
  </si>
  <si>
    <t>Adams</t>
  </si>
  <si>
    <t>California</t>
  </si>
  <si>
    <t>Shaft Clinch</t>
  </si>
  <si>
    <t>John</t>
  </si>
  <si>
    <t>Schaeffer</t>
  </si>
  <si>
    <t>Shaft Driver</t>
  </si>
  <si>
    <t>Leigh</t>
  </si>
  <si>
    <t>Martin</t>
  </si>
  <si>
    <t>Shark Dick</t>
  </si>
  <si>
    <t>Steve</t>
  </si>
  <si>
    <t>Day</t>
  </si>
  <si>
    <t>Sherlock Loads</t>
  </si>
  <si>
    <t>Alex</t>
  </si>
  <si>
    <t>Moskoff</t>
  </si>
  <si>
    <t>Shiny Horselog</t>
  </si>
  <si>
    <t>Jesse</t>
  </si>
  <si>
    <t>Groeneveld</t>
  </si>
  <si>
    <t>Shiny Knob</t>
  </si>
  <si>
    <t>Austin</t>
  </si>
  <si>
    <t>Darbyshire</t>
  </si>
  <si>
    <t>Shit</t>
  </si>
  <si>
    <t>Mike</t>
  </si>
  <si>
    <t>Hinch</t>
  </si>
  <si>
    <t>Shit Creek</t>
  </si>
  <si>
    <t>Mark</t>
  </si>
  <si>
    <t>Hudson</t>
  </si>
  <si>
    <t>Michigan</t>
  </si>
  <si>
    <t>Bloodfart96</t>
  </si>
  <si>
    <t>Shit Fisterson</t>
  </si>
  <si>
    <t>Kyle</t>
  </si>
  <si>
    <t>Greer</t>
  </si>
  <si>
    <t>Shit Mom</t>
  </si>
  <si>
    <t>Greg</t>
  </si>
  <si>
    <t>McCarney</t>
  </si>
  <si>
    <t>Shit Tennis</t>
  </si>
  <si>
    <t>Mike</t>
  </si>
  <si>
    <t>Medland</t>
  </si>
  <si>
    <t>Shit Toboggan</t>
  </si>
  <si>
    <t>Alex</t>
  </si>
  <si>
    <t>Reed</t>
  </si>
  <si>
    <t>California</t>
  </si>
  <si>
    <t>finethenfuckyoutoo</t>
  </si>
  <si>
    <t>Shit Warrior</t>
  </si>
  <si>
    <t>Dustin</t>
  </si>
  <si>
    <t>Ikert</t>
  </si>
  <si>
    <t>Shitkicker</t>
  </si>
  <si>
    <t>Mike</t>
  </si>
  <si>
    <t>Kickham</t>
  </si>
  <si>
    <t>Shitkira</t>
  </si>
  <si>
    <t>Sean</t>
  </si>
  <si>
    <t>McElroy</t>
  </si>
  <si>
    <t>Shoctopuss</t>
  </si>
  <si>
    <t>Tyler</t>
  </si>
  <si>
    <t>Jacobson</t>
  </si>
  <si>
    <t>Skull Bone</t>
  </si>
  <si>
    <t>Nicolas</t>
  </si>
  <si>
    <t>McCarney</t>
  </si>
  <si>
    <t>Slayer McAnthrax</t>
  </si>
  <si>
    <t>Lyle</t>
  </si>
  <si>
    <t>McKinley</t>
  </si>
  <si>
    <t>Sleep Breeder</t>
  </si>
  <si>
    <t>Jason</t>
  </si>
  <si>
    <t>McDonald</t>
  </si>
  <si>
    <t>Sleepy Joe</t>
  </si>
  <si>
    <t>Joe</t>
  </si>
  <si>
    <t>Nelson</t>
  </si>
  <si>
    <t>Oregon</t>
  </si>
  <si>
    <t>SleepyJoe</t>
  </si>
  <si>
    <t>President</t>
  </si>
  <si>
    <t>Slippery Rick</t>
  </si>
  <si>
    <t>Kevin</t>
  </si>
  <si>
    <t>Ouellette</t>
  </si>
  <si>
    <t>Smashing Stabfire</t>
  </si>
  <si>
    <t>AJ</t>
  </si>
  <si>
    <t>Metauro</t>
  </si>
  <si>
    <t>Smoke My Eel</t>
  </si>
  <si>
    <t>Jerrod</t>
  </si>
  <si>
    <t>Webster</t>
  </si>
  <si>
    <t>Snoop Log</t>
  </si>
  <si>
    <t>Kyle</t>
  </si>
  <si>
    <t>Saville</t>
  </si>
  <si>
    <t>Soccovitch</t>
  </si>
  <si>
    <t>Mike</t>
  </si>
  <si>
    <t>Vroman</t>
  </si>
  <si>
    <t>Washington</t>
  </si>
  <si>
    <t>soccovitch1</t>
  </si>
  <si>
    <t>Vice President</t>
  </si>
  <si>
    <t>Son Of A Bitch</t>
  </si>
  <si>
    <t>Robert</t>
  </si>
  <si>
    <t>Mugar</t>
  </si>
  <si>
    <t>Spaghetti Dirt</t>
  </si>
  <si>
    <t>Stuart</t>
  </si>
  <si>
    <t>Diarte</t>
  </si>
  <si>
    <t>Spaghetti Nachos</t>
  </si>
  <si>
    <t>Justin</t>
  </si>
  <si>
    <t>McNeil</t>
  </si>
  <si>
    <t>Spark Trickle</t>
  </si>
  <si>
    <t>Mike</t>
  </si>
  <si>
    <t>Pickering</t>
  </si>
  <si>
    <t>Sparky Baldstocking</t>
  </si>
  <si>
    <t>Jason</t>
  </si>
  <si>
    <t>Marsh</t>
  </si>
  <si>
    <t>Spaseghost</t>
  </si>
  <si>
    <t>Tony</t>
  </si>
  <si>
    <t>Fisher</t>
  </si>
  <si>
    <t>Spermaphobe</t>
  </si>
  <si>
    <t>Robert</t>
  </si>
  <si>
    <t>Howie</t>
  </si>
  <si>
    <t>Spit Farticle</t>
  </si>
  <si>
    <t>Jake</t>
  </si>
  <si>
    <t>Jensen</t>
  </si>
  <si>
    <t>Sprewell Mensis</t>
  </si>
  <si>
    <t>Bryce</t>
  </si>
  <si>
    <t>Littrell</t>
  </si>
  <si>
    <t>Sprog Socket</t>
  </si>
  <si>
    <t>Kyle</t>
  </si>
  <si>
    <t>Vetter</t>
  </si>
  <si>
    <t>British Columbia</t>
  </si>
  <si>
    <t>Squatch</t>
  </si>
  <si>
    <t>Logan</t>
  </si>
  <si>
    <t>McCort</t>
  </si>
  <si>
    <t>Stand-In Bastard</t>
  </si>
  <si>
    <t>Juanita</t>
  </si>
  <si>
    <t>Ross</t>
  </si>
  <si>
    <t>Stand-In Shitman</t>
  </si>
  <si>
    <t>Erik</t>
  </si>
  <si>
    <t>Stene</t>
  </si>
  <si>
    <t>California</t>
  </si>
  <si>
    <t>Stapleneck</t>
  </si>
  <si>
    <t>John</t>
  </si>
  <si>
    <t>Swisher</t>
  </si>
  <si>
    <t>Arizona</t>
  </si>
  <si>
    <t>stapleneck</t>
  </si>
  <si>
    <t>President</t>
  </si>
  <si>
    <t>Statutory Fingering</t>
  </si>
  <si>
    <t>Matt</t>
  </si>
  <si>
    <t>Dowdy</t>
  </si>
  <si>
    <t>Statutory Gape</t>
  </si>
  <si>
    <t>Samantha</t>
  </si>
  <si>
    <t>Sullivan</t>
  </si>
  <si>
    <t>Sticky Taint</t>
  </si>
  <si>
    <t>Greg</t>
  </si>
  <si>
    <t>Steussing</t>
  </si>
  <si>
    <t>New Jersey</t>
  </si>
  <si>
    <t>Road Captain</t>
  </si>
  <si>
    <t>Storm Rapist</t>
  </si>
  <si>
    <t>Jesse</t>
  </si>
  <si>
    <t>Fitzsimmons</t>
  </si>
  <si>
    <t>Street Ball</t>
  </si>
  <si>
    <t>Mark</t>
  </si>
  <si>
    <t>Benson</t>
  </si>
  <si>
    <t>Suckass</t>
  </si>
  <si>
    <t>Jared</t>
  </si>
  <si>
    <t>Urban</t>
  </si>
  <si>
    <t>Summer Pasta</t>
  </si>
  <si>
    <t>Alredo</t>
  </si>
  <si>
    <t>Winter</t>
  </si>
  <si>
    <t>California</t>
  </si>
  <si>
    <t>FredoWin</t>
  </si>
  <si>
    <t>Super Dad</t>
  </si>
  <si>
    <t>Michael</t>
  </si>
  <si>
    <t>Tully</t>
  </si>
  <si>
    <t>California</t>
  </si>
  <si>
    <t>Tully</t>
  </si>
  <si>
    <t>Knight</t>
  </si>
  <si>
    <t>Super Fly Manson</t>
  </si>
  <si>
    <t>Jason</t>
  </si>
  <si>
    <t>Patry</t>
  </si>
  <si>
    <t>Super-I-Have-Tits</t>
  </si>
  <si>
    <t>Jolene</t>
  </si>
  <si>
    <t>Bourque</t>
  </si>
  <si>
    <t>Northwest Territories</t>
  </si>
  <si>
    <t>First Lady</t>
  </si>
  <si>
    <t>Taco Assassin</t>
  </si>
  <si>
    <t>Edgardo</t>
  </si>
  <si>
    <t>Guzman</t>
  </si>
  <si>
    <t>Taint Rapist</t>
  </si>
  <si>
    <t>Shawna</t>
  </si>
  <si>
    <t>Clark</t>
  </si>
  <si>
    <t>Teenage Mutant Ninja Tom</t>
  </si>
  <si>
    <t>Tom</t>
  </si>
  <si>
    <t>Wiebel</t>
  </si>
  <si>
    <t>Testical Face</t>
  </si>
  <si>
    <t>Brian</t>
  </si>
  <si>
    <t>Griffin</t>
  </si>
  <si>
    <t>Testicle Shadows</t>
  </si>
  <si>
    <t>Kacy</t>
  </si>
  <si>
    <t>Johnson</t>
  </si>
  <si>
    <t>The 5th Metallica</t>
  </si>
  <si>
    <t>Jordan</t>
  </si>
  <si>
    <t>Fuller</t>
  </si>
  <si>
    <t>The Asian Cajun</t>
  </si>
  <si>
    <t>Jake</t>
  </si>
  <si>
    <t>Bourdreau</t>
  </si>
  <si>
    <t>The Backbone</t>
  </si>
  <si>
    <t>Bryan</t>
  </si>
  <si>
    <t>Cullen</t>
  </si>
  <si>
    <t>New York</t>
  </si>
  <si>
    <t>Knight</t>
  </si>
  <si>
    <t>The Beady Sado-Masichist</t>
  </si>
  <si>
    <t>Benjamin Dean</t>
  </si>
  <si>
    <t>Murray</t>
  </si>
  <si>
    <t>The Black Asian</t>
  </si>
  <si>
    <t>Cole</t>
  </si>
  <si>
    <t>Yellowbird</t>
  </si>
  <si>
    <t>The Budiney</t>
  </si>
  <si>
    <t>Jesse</t>
  </si>
  <si>
    <t>Budine</t>
  </si>
  <si>
    <t>The Come Of A Man</t>
  </si>
  <si>
    <t>Rich</t>
  </si>
  <si>
    <t>Cummings</t>
  </si>
  <si>
    <t>The Creator</t>
  </si>
  <si>
    <t>Noah</t>
  </si>
  <si>
    <t>Pratt</t>
  </si>
  <si>
    <t>The Defusinator</t>
  </si>
  <si>
    <t>Zachary</t>
  </si>
  <si>
    <t>Ross</t>
  </si>
  <si>
    <t>New Mexico</t>
  </si>
  <si>
    <t>The Diaperist</t>
  </si>
  <si>
    <t>Joy</t>
  </si>
  <si>
    <t>Veylupek</t>
  </si>
  <si>
    <t>The Doober</t>
  </si>
  <si>
    <t>Doober</t>
  </si>
  <si>
    <t>The Elepracorn</t>
  </si>
  <si>
    <t>Chris</t>
  </si>
  <si>
    <t>Oleary</t>
  </si>
  <si>
    <t>Pennsylvania</t>
  </si>
  <si>
    <t>The Exfoliator Of Shit</t>
  </si>
  <si>
    <t>Dale</t>
  </si>
  <si>
    <t>Harasem</t>
  </si>
  <si>
    <t>The Fart Whisperer</t>
  </si>
  <si>
    <t>Brian</t>
  </si>
  <si>
    <t>Larson</t>
  </si>
  <si>
    <t>The Fingerist</t>
  </si>
  <si>
    <t>Derek</t>
  </si>
  <si>
    <t>McCabe</t>
  </si>
  <si>
    <t>The Fluffer</t>
  </si>
  <si>
    <t>Steve</t>
  </si>
  <si>
    <t>Rodgers</t>
  </si>
  <si>
    <t>The Fuck You Finger of Satan</t>
  </si>
  <si>
    <t>Blasko (Rob)</t>
  </si>
  <si>
    <t>Nicholson</t>
  </si>
  <si>
    <t>California</t>
  </si>
  <si>
    <t>Caturday Master</t>
  </si>
  <si>
    <t>The Gape Crusader</t>
  </si>
  <si>
    <t>Jay</t>
  </si>
  <si>
    <t>Winters</t>
  </si>
  <si>
    <t>The Grapey</t>
  </si>
  <si>
    <t>Nicole</t>
  </si>
  <si>
    <t>Oort</t>
  </si>
  <si>
    <t>The Grapist</t>
  </si>
  <si>
    <t>Dave</t>
  </si>
  <si>
    <t>Oort</t>
  </si>
  <si>
    <t>The Greasy Hipster</t>
  </si>
  <si>
    <t>Jeromy</t>
  </si>
  <si>
    <t>Dailey</t>
  </si>
  <si>
    <t>The Great Gaper</t>
  </si>
  <si>
    <t>Taylor</t>
  </si>
  <si>
    <t>Cover</t>
  </si>
  <si>
    <t>The Hills Have Eyes</t>
  </si>
  <si>
    <t>Blake</t>
  </si>
  <si>
    <t>Shirk</t>
  </si>
  <si>
    <t>The Jew</t>
  </si>
  <si>
    <t>James Ellis</t>
  </si>
  <si>
    <t>Washburn</t>
  </si>
  <si>
    <t>The Lone Boner</t>
  </si>
  <si>
    <t>Adam</t>
  </si>
  <si>
    <t>Chapin</t>
  </si>
  <si>
    <t>The Necklace Raccoon</t>
  </si>
  <si>
    <t>Greg</t>
  </si>
  <si>
    <t>Olsen</t>
  </si>
  <si>
    <t>The Other Lone Boner</t>
  </si>
  <si>
    <t>SSG Wesley</t>
  </si>
  <si>
    <t>Nevins</t>
  </si>
  <si>
    <t>The Pussey Pussy</t>
  </si>
  <si>
    <t>Evan</t>
  </si>
  <si>
    <t>Cowan</t>
  </si>
  <si>
    <t>Colorado</t>
  </si>
  <si>
    <t>The Queefing Leprechaun</t>
  </si>
  <si>
    <t>Stephan</t>
  </si>
  <si>
    <t>McCrannie</t>
  </si>
  <si>
    <t>Colorado</t>
  </si>
  <si>
    <t>The Red Roofer</t>
  </si>
  <si>
    <t>Scott</t>
  </si>
  <si>
    <t>Willett</t>
  </si>
  <si>
    <t>Nevada</t>
  </si>
  <si>
    <t>The Shitman</t>
  </si>
  <si>
    <t>Aaron</t>
  </si>
  <si>
    <t>Trommeshauser</t>
  </si>
  <si>
    <t>The Spanish Crow</t>
  </si>
  <si>
    <t>Chris</t>
  </si>
  <si>
    <t>Robinson</t>
  </si>
  <si>
    <t>The Spanish Cumrag</t>
  </si>
  <si>
    <t>Joe</t>
  </si>
  <si>
    <t>Licalsi</t>
  </si>
  <si>
    <t>The Sweaty Latino</t>
  </si>
  <si>
    <t>Hector</t>
  </si>
  <si>
    <t>Hernandez</t>
  </si>
  <si>
    <t>The Tool Cuttah</t>
  </si>
  <si>
    <t>Chris</t>
  </si>
  <si>
    <t>Burrows</t>
  </si>
  <si>
    <t>The Velvet Asshole</t>
  </si>
  <si>
    <t>Erik</t>
  </si>
  <si>
    <t>Veltikold</t>
  </si>
  <si>
    <t>The Woodswoman</t>
  </si>
  <si>
    <t>Sara</t>
  </si>
  <si>
    <t>VanLaningham</t>
  </si>
  <si>
    <t>Indiana</t>
  </si>
  <si>
    <t>VioletShadow</t>
  </si>
  <si>
    <t>First Lady of the WolfKnives</t>
  </si>
  <si>
    <t>Thomas Hayden Chappel</t>
  </si>
  <si>
    <t>Justin</t>
  </si>
  <si>
    <t>Chappel</t>
  </si>
  <si>
    <t>Saskatchewan</t>
  </si>
  <si>
    <t>jaydadawg</t>
  </si>
  <si>
    <t>Vice Prime Minister</t>
  </si>
  <si>
    <t>Tina Turner</t>
  </si>
  <si>
    <t>Chase</t>
  </si>
  <si>
    <t>Dika</t>
  </si>
  <si>
    <t>Alberta</t>
  </si>
  <si>
    <t>cdika17</t>
  </si>
  <si>
    <t>Tinwacher</t>
  </si>
  <si>
    <t>Brian</t>
  </si>
  <si>
    <t>Ontario</t>
  </si>
  <si>
    <t>blackhawks</t>
  </si>
  <si>
    <t>Prime Minister</t>
  </si>
  <si>
    <t>Tit Nipple</t>
  </si>
  <si>
    <t>Jesse</t>
  </si>
  <si>
    <t>Boulton</t>
  </si>
  <si>
    <t>Tit Ruby</t>
  </si>
  <si>
    <t>Kathy</t>
  </si>
  <si>
    <t>Robertson</t>
  </si>
  <si>
    <t>British Columbia</t>
  </si>
  <si>
    <t>Kikki17</t>
  </si>
  <si>
    <t>Tongue My Dogs</t>
  </si>
  <si>
    <t>John</t>
  </si>
  <si>
    <t>Whydig</t>
  </si>
  <si>
    <t>Tony Flat-Ass</t>
  </si>
  <si>
    <t>Tim</t>
  </si>
  <si>
    <t>Gallagher</t>
  </si>
  <si>
    <t>Tool Hand Luke The 4th</t>
  </si>
  <si>
    <t>Guy</t>
  </si>
  <si>
    <t>Hudson</t>
  </si>
  <si>
    <t>Tortellini</t>
  </si>
  <si>
    <t>Michael</t>
  </si>
  <si>
    <t>Tulino</t>
  </si>
  <si>
    <t>Tote Scrotum</t>
  </si>
  <si>
    <t>Dave</t>
  </si>
  <si>
    <t>Cook</t>
  </si>
  <si>
    <t>Tree Scalper</t>
  </si>
  <si>
    <t>Dan</t>
  </si>
  <si>
    <t>Tillapaugh</t>
  </si>
  <si>
    <t>Triple Tee</t>
  </si>
  <si>
    <t>Tony</t>
  </si>
  <si>
    <t>Betz</t>
  </si>
  <si>
    <t>Wisconsin</t>
  </si>
  <si>
    <t>Truck Fucker</t>
  </si>
  <si>
    <t>Chad</t>
  </si>
  <si>
    <t>Henson</t>
  </si>
  <si>
    <t>Truck Yeah</t>
  </si>
  <si>
    <t>Sean</t>
  </si>
  <si>
    <t>Neilson</t>
  </si>
  <si>
    <t>Ontario</t>
  </si>
  <si>
    <t>Truckloads</t>
  </si>
  <si>
    <t>Leanna</t>
  </si>
  <si>
    <t>Oke</t>
  </si>
  <si>
    <t>Trucktagon</t>
  </si>
  <si>
    <t>Kenny</t>
  </si>
  <si>
    <t>Taylor</t>
  </si>
  <si>
    <t>Truk Norris</t>
  </si>
  <si>
    <t>Scott</t>
  </si>
  <si>
    <t>M</t>
  </si>
  <si>
    <t>Ontario</t>
  </si>
  <si>
    <t>Trust Fund Liar</t>
  </si>
  <si>
    <t>David</t>
  </si>
  <si>
    <t>Jaworski</t>
  </si>
  <si>
    <t>Tube Inspector</t>
  </si>
  <si>
    <t>James</t>
  </si>
  <si>
    <t>Beeler</t>
  </si>
  <si>
    <t>Montana</t>
  </si>
  <si>
    <t>jbeeler2012</t>
  </si>
  <si>
    <t>Turbo Lightning Eagle</t>
  </si>
  <si>
    <t>Chris</t>
  </si>
  <si>
    <t>Lucas</t>
  </si>
  <si>
    <t>Turd Gurgler</t>
  </si>
  <si>
    <t>Ashlee</t>
  </si>
  <si>
    <t>Browning</t>
  </si>
  <si>
    <t>Turd Load</t>
  </si>
  <si>
    <t>Can</t>
  </si>
  <si>
    <t>McNair</t>
  </si>
  <si>
    <t>Turtle Collector</t>
  </si>
  <si>
    <t>Jake</t>
  </si>
  <si>
    <t>Kopek</t>
  </si>
  <si>
    <t>Twisted Metal</t>
  </si>
  <si>
    <t>John</t>
  </si>
  <si>
    <t>Flath</t>
  </si>
  <si>
    <t>New Jersey</t>
  </si>
  <si>
    <t>TwistedMetal1</t>
  </si>
  <si>
    <t>President</t>
  </si>
  <si>
    <t>Tyler Dirven</t>
  </si>
  <si>
    <t>Justin</t>
  </si>
  <si>
    <t>Dirven</t>
  </si>
  <si>
    <t>Saskatchewan</t>
  </si>
  <si>
    <t>Vertical Dick</t>
  </si>
  <si>
    <t>Jeremiah</t>
  </si>
  <si>
    <t>Kolbensvik</t>
  </si>
  <si>
    <t>Viper</t>
  </si>
  <si>
    <t>Jeff</t>
  </si>
  <si>
    <t>Grubaugh</t>
  </si>
  <si>
    <t>Ohio</t>
  </si>
  <si>
    <t>Viper2</t>
  </si>
  <si>
    <t>President</t>
  </si>
  <si>
    <t>Vomit Rod</t>
  </si>
  <si>
    <t>Josh</t>
  </si>
  <si>
    <t>Bartholomew</t>
  </si>
  <si>
    <t>Wapner</t>
  </si>
  <si>
    <t>Taylor</t>
  </si>
  <si>
    <t>Watling</t>
  </si>
  <si>
    <t>Wayne Gretzky's Taint</t>
  </si>
  <si>
    <t>Scott</t>
  </si>
  <si>
    <t>Abel</t>
  </si>
  <si>
    <t>Alberta</t>
  </si>
  <si>
    <t>Wet BJ</t>
  </si>
  <si>
    <t>Ryan</t>
  </si>
  <si>
    <t>Fryer</t>
  </si>
  <si>
    <t>Wet Blanket</t>
  </si>
  <si>
    <t>Adrian</t>
  </si>
  <si>
    <t>Roberts</t>
  </si>
  <si>
    <t>White Bread</t>
  </si>
  <si>
    <t>Corey</t>
  </si>
  <si>
    <t>Walters</t>
  </si>
  <si>
    <t>Pennsylvania</t>
  </si>
  <si>
    <t>White Power Ranger</t>
  </si>
  <si>
    <t>Dylan</t>
  </si>
  <si>
    <t>Waite</t>
  </si>
  <si>
    <t>Oregon</t>
  </si>
  <si>
    <t>fmfan</t>
  </si>
  <si>
    <t>Whore &amp; Order</t>
  </si>
  <si>
    <t>Christi</t>
  </si>
  <si>
    <t>Hammond</t>
  </si>
  <si>
    <t>Wolf Kisser</t>
  </si>
  <si>
    <t>Tim</t>
  </si>
  <si>
    <t>Wright</t>
  </si>
  <si>
    <t>Indiana</t>
  </si>
  <si>
    <t>WolfKisser</t>
  </si>
  <si>
    <t>President</t>
  </si>
  <si>
    <t>Wolfnugget</t>
  </si>
  <si>
    <t>Thomas</t>
  </si>
  <si>
    <t>Lavigne</t>
  </si>
  <si>
    <t>Womb Raider</t>
  </si>
  <si>
    <t>Andy</t>
  </si>
  <si>
    <t>Womer</t>
  </si>
  <si>
    <t>Wong Dong Silver</t>
  </si>
  <si>
    <t>Kyle</t>
  </si>
  <si>
    <t>Wongstedt</t>
  </si>
  <si>
    <t>Wood Hitler</t>
  </si>
  <si>
    <t>Mike</t>
  </si>
  <si>
    <t>Bayes</t>
  </si>
  <si>
    <t>Yesterday's Poo</t>
  </si>
  <si>
    <t>Keith</t>
  </si>
  <si>
    <t>Coughlin</t>
  </si>
  <si>
    <t>Young Wing</t>
  </si>
  <si>
    <t>Jason</t>
  </si>
  <si>
    <t>Ellis</t>
  </si>
  <si>
    <t>California</t>
  </si>
  <si>
    <t>Ellis</t>
  </si>
  <si>
    <t>King</t>
  </si>
  <si>
    <t>Zeus Godlord</t>
  </si>
  <si>
    <t>Jason</t>
  </si>
  <si>
    <t>Howell</t>
  </si>
  <si>
    <t>Zombie Prostitute</t>
  </si>
  <si>
    <t>Jenny Renee</t>
  </si>
  <si>
    <t>Pelcher</t>
  </si>
  <si>
    <t>publish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</si>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</sst>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</font>
    <font>
      <b/>
      <u/>
      <sz val="10"/>
      <color rgb="FFCC0000"/>
      <name val="Arial"/>
    </font>
    <font>
      <b/>
      <u/>
      <sz val="10"/>
      <color rgb="FFCC0000"/>
      <name val="Arial"/>
    </font>
    <font>
      <sz val="10"/>
      <color rgb="FFEFEFEF"/>
      <name val="Arial"/>
    </font>
    <font>
      <u/>
      <sz val="10"/>
      <color rgb="FFEFEFEF"/>
      <name val="Arial"/>
    </font>
    <font>
      <sz val="10"/>
      <color rgb="FFEFEFEF"/>
      <name val="Arial"/>
    </font>
    <font>
      <sz val="10"/>
      <color rgb="FFEFEFEF"/>
      <name val="Arial"/>
    </font>
    <font>
      <sz val="10"/>
      <color rgb="FFEFEFEF"/>
      <name val="Arial"/>
    </font>
    <font>
      <u/>
      <sz val="10"/>
      <color rgb="FFEFEFEF"/>
      <name val="Arial"/>
    </font>
    <font>
      <sz val="10"/>
      <color rgb="FFEFEFEF"/>
      <name val="Arial"/>
    </font>
    <font>
      <sz val="10"/>
      <color rgb="FFEFEFEF"/>
      <name val="Arial"/>
    </font>
    <font>
      <sz val="10"/>
      <color rgb="FFEFEFEF"/>
      <name val="Arial"/>
    </font>
    <font>
      <sz val="10"/>
      <color rgb="FFFFFFFF"/>
      <name val="Arial"/>
    </font>
    <font>
      <u/>
      <sz val="10"/>
      <color rgb="FFFFFFFF"/>
      <name val="Arial"/>
    </font>
    <font>
      <sz val="10"/>
      <color rgb="FFFFFFFF"/>
      <name val="Arial"/>
    </font>
    <font>
      <sz val="10"/>
      <color rgb="FFEFEFEF"/>
      <name val="Arial"/>
    </font>
    <font>
      <u/>
      <sz val="10"/>
      <color rgb="FFEFEFE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/>
    <xf numFmtId="0" fontId="4" fillId="2" borderId="3" xfId="0" applyFont="1" applyFill="1" applyBorder="1" applyAlignment="1"/>
    <xf numFmtId="0" fontId="5" fillId="2" borderId="4" xfId="0" applyFont="1" applyFill="1" applyBorder="1"/>
    <xf numFmtId="0" fontId="6" fillId="2" borderId="1" xfId="0" applyFont="1" applyFill="1" applyBorder="1" applyAlignment="1"/>
    <xf numFmtId="0" fontId="7" fillId="2" borderId="1" xfId="0" applyFont="1" applyFill="1" applyBorder="1"/>
    <xf numFmtId="0" fontId="8" fillId="2" borderId="1" xfId="0" applyFont="1" applyFill="1" applyBorder="1" applyAlignment="1"/>
    <xf numFmtId="0" fontId="9" fillId="2" borderId="1" xfId="0" applyFont="1" applyFill="1" applyBorder="1" applyAlignment="1"/>
    <xf numFmtId="0" fontId="10" fillId="2" borderId="5" xfId="0" applyFont="1" applyFill="1" applyBorder="1" applyAlignment="1"/>
    <xf numFmtId="0" fontId="11" fillId="2" borderId="6" xfId="0" applyFont="1" applyFill="1" applyBorder="1"/>
    <xf numFmtId="0" fontId="12" fillId="2" borderId="1" xfId="0" applyFont="1" applyFill="1" applyBorder="1" applyAlignment="1"/>
    <xf numFmtId="0" fontId="13" fillId="2" borderId="1" xfId="0" applyFont="1" applyFill="1" applyBorder="1" applyAlignment="1"/>
    <xf numFmtId="0" fontId="14" fillId="2" borderId="1" xfId="0" applyFont="1" applyFill="1" applyBorder="1"/>
    <xf numFmtId="0" fontId="15" fillId="2" borderId="1" xfId="0" applyFont="1" applyFill="1" applyBorder="1" applyAlignment="1"/>
    <xf numFmtId="0" fontId="16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instagram.com/hyena_fist74" TargetMode="External"/><Relationship Id="rId21" Type="http://schemas.openxmlformats.org/officeDocument/2006/relationships/hyperlink" Target="https://twitter.com/Bonk_RDS" TargetMode="External"/><Relationship Id="rId42" Type="http://schemas.openxmlformats.org/officeDocument/2006/relationships/hyperlink" Target="https://twitter.com/cringer" TargetMode="External"/><Relationship Id="rId63" Type="http://schemas.openxmlformats.org/officeDocument/2006/relationships/hyperlink" Target="https://twitter.com/gregdevo" TargetMode="External"/><Relationship Id="rId84" Type="http://schemas.openxmlformats.org/officeDocument/2006/relationships/hyperlink" Target="http://instagram.com/adamb2001" TargetMode="External"/><Relationship Id="rId138" Type="http://schemas.openxmlformats.org/officeDocument/2006/relationships/hyperlink" Target="http://instagram.com/draxsis_rocker" TargetMode="External"/><Relationship Id="rId159" Type="http://schemas.openxmlformats.org/officeDocument/2006/relationships/hyperlink" Target="http://instagram.com/amy_nipplopolis" TargetMode="External"/><Relationship Id="rId170" Type="http://schemas.openxmlformats.org/officeDocument/2006/relationships/hyperlink" Target="https://twitter.com/lindmaer" TargetMode="External"/><Relationship Id="rId191" Type="http://schemas.openxmlformats.org/officeDocument/2006/relationships/hyperlink" Target="http://instagram.com/sjkrupenny" TargetMode="External"/><Relationship Id="rId205" Type="http://schemas.openxmlformats.org/officeDocument/2006/relationships/hyperlink" Target="http://instagram.com/emilyinsd" TargetMode="External"/><Relationship Id="rId226" Type="http://schemas.openxmlformats.org/officeDocument/2006/relationships/hyperlink" Target="http://instagram.com/tullywood" TargetMode="External"/><Relationship Id="rId247" Type="http://schemas.openxmlformats.org/officeDocument/2006/relationships/hyperlink" Target="http://instagram.com/tinwacker" TargetMode="External"/><Relationship Id="rId107" Type="http://schemas.openxmlformats.org/officeDocument/2006/relationships/hyperlink" Target="http://instagram.com/Harry_Poppins_Wolfknifes" TargetMode="External"/><Relationship Id="rId268" Type="http://schemas.openxmlformats.org/officeDocument/2006/relationships/hyperlink" Target="http://instagram.com/wolfmate" TargetMode="External"/><Relationship Id="rId11" Type="http://schemas.openxmlformats.org/officeDocument/2006/relationships/hyperlink" Target="http://instagram.com/marasta" TargetMode="External"/><Relationship Id="rId32" Type="http://schemas.openxmlformats.org/officeDocument/2006/relationships/hyperlink" Target="https://twitter.com/Liqydice700" TargetMode="External"/><Relationship Id="rId53" Type="http://schemas.openxmlformats.org/officeDocument/2006/relationships/hyperlink" Target="https://twitter.com/JMessick82" TargetMode="External"/><Relationship Id="rId74" Type="http://schemas.openxmlformats.org/officeDocument/2006/relationships/hyperlink" Target="http://instagram.com/richybang" TargetMode="External"/><Relationship Id="rId128" Type="http://schemas.openxmlformats.org/officeDocument/2006/relationships/hyperlink" Target="https://twitter.com/johninhouston" TargetMode="External"/><Relationship Id="rId149" Type="http://schemas.openxmlformats.org/officeDocument/2006/relationships/hyperlink" Target="http://instagram.com/jared2207" TargetMode="External"/><Relationship Id="rId5" Type="http://schemas.openxmlformats.org/officeDocument/2006/relationships/hyperlink" Target="http://instagram.com/avenne6" TargetMode="External"/><Relationship Id="rId95" Type="http://schemas.openxmlformats.org/officeDocument/2006/relationships/hyperlink" Target="https://twitter.com/dardar70" TargetMode="External"/><Relationship Id="rId160" Type="http://schemas.openxmlformats.org/officeDocument/2006/relationships/hyperlink" Target="https://twitter.com/DJM16" TargetMode="External"/><Relationship Id="rId181" Type="http://schemas.openxmlformats.org/officeDocument/2006/relationships/hyperlink" Target="http://instagram.com/dub97gt" TargetMode="External"/><Relationship Id="rId216" Type="http://schemas.openxmlformats.org/officeDocument/2006/relationships/hyperlink" Target="https://twitter.com/Kvetter81" TargetMode="External"/><Relationship Id="rId237" Type="http://schemas.openxmlformats.org/officeDocument/2006/relationships/hyperlink" Target="https://twitter.com/queefleprecaun" TargetMode="External"/><Relationship Id="rId258" Type="http://schemas.openxmlformats.org/officeDocument/2006/relationships/hyperlink" Target="http://instagram.com/twistedmetalfab" TargetMode="External"/><Relationship Id="rId22" Type="http://schemas.openxmlformats.org/officeDocument/2006/relationships/hyperlink" Target="http://instagram.com/bonk_rds" TargetMode="External"/><Relationship Id="rId43" Type="http://schemas.openxmlformats.org/officeDocument/2006/relationships/hyperlink" Target="http://instagram.com/cringeworld" TargetMode="External"/><Relationship Id="rId64" Type="http://schemas.openxmlformats.org/officeDocument/2006/relationships/hyperlink" Target="http://instagram.com/gregdevo" TargetMode="External"/><Relationship Id="rId118" Type="http://schemas.openxmlformats.org/officeDocument/2006/relationships/hyperlink" Target="https://twitter.com/spryguy25" TargetMode="External"/><Relationship Id="rId139" Type="http://schemas.openxmlformats.org/officeDocument/2006/relationships/hyperlink" Target="https://twitter.com/matmonsterk" TargetMode="External"/><Relationship Id="rId85" Type="http://schemas.openxmlformats.org/officeDocument/2006/relationships/hyperlink" Target="https://twitter.com/steelystevenson" TargetMode="External"/><Relationship Id="rId150" Type="http://schemas.openxmlformats.org/officeDocument/2006/relationships/hyperlink" Target="https://twitter.com/McKaI86" TargetMode="External"/><Relationship Id="rId171" Type="http://schemas.openxmlformats.org/officeDocument/2006/relationships/hyperlink" Target="http://instagram.com/lindmaer" TargetMode="External"/><Relationship Id="rId192" Type="http://schemas.openxmlformats.org/officeDocument/2006/relationships/hyperlink" Target="https://twitter.com/RadioTFB" TargetMode="External"/><Relationship Id="rId206" Type="http://schemas.openxmlformats.org/officeDocument/2006/relationships/hyperlink" Target="https://twitter.com/TithaS" TargetMode="External"/><Relationship Id="rId227" Type="http://schemas.openxmlformats.org/officeDocument/2006/relationships/hyperlink" Target="https://twitter.com/JoleneParties" TargetMode="External"/><Relationship Id="rId248" Type="http://schemas.openxmlformats.org/officeDocument/2006/relationships/hyperlink" Target="https://twitter.com/kikkiluvsracing" TargetMode="External"/><Relationship Id="rId12" Type="http://schemas.openxmlformats.org/officeDocument/2006/relationships/hyperlink" Target="https://twitter.com/Schwyter89" TargetMode="External"/><Relationship Id="rId33" Type="http://schemas.openxmlformats.org/officeDocument/2006/relationships/hyperlink" Target="https://twitter.com/Missy3696" TargetMode="External"/><Relationship Id="rId108" Type="http://schemas.openxmlformats.org/officeDocument/2006/relationships/hyperlink" Target="https://twitter.com/bigalont" TargetMode="External"/><Relationship Id="rId129" Type="http://schemas.openxmlformats.org/officeDocument/2006/relationships/hyperlink" Target="http://instagram.com/johninhouston" TargetMode="External"/><Relationship Id="rId54" Type="http://schemas.openxmlformats.org/officeDocument/2006/relationships/hyperlink" Target="http://instagram.com/JMessick82" TargetMode="External"/><Relationship Id="rId75" Type="http://schemas.openxmlformats.org/officeDocument/2006/relationships/hyperlink" Target="https://twitter.com/Dutch_RDS" TargetMode="External"/><Relationship Id="rId96" Type="http://schemas.openxmlformats.org/officeDocument/2006/relationships/hyperlink" Target="http://instagram.com/DarDar70" TargetMode="External"/><Relationship Id="rId140" Type="http://schemas.openxmlformats.org/officeDocument/2006/relationships/hyperlink" Target="http://instagram.com/matmonsterk" TargetMode="External"/><Relationship Id="rId161" Type="http://schemas.openxmlformats.org/officeDocument/2006/relationships/hyperlink" Target="http://instagram.com/emsixtene" TargetMode="External"/><Relationship Id="rId182" Type="http://schemas.openxmlformats.org/officeDocument/2006/relationships/hyperlink" Target="https://twitter.com/Walkerman75" TargetMode="External"/><Relationship Id="rId217" Type="http://schemas.openxmlformats.org/officeDocument/2006/relationships/hyperlink" Target="http://instagram.com/Dibiase8181" TargetMode="External"/><Relationship Id="rId6" Type="http://schemas.openxmlformats.org/officeDocument/2006/relationships/hyperlink" Target="https://twitter.com/IrishJayBray" TargetMode="External"/><Relationship Id="rId238" Type="http://schemas.openxmlformats.org/officeDocument/2006/relationships/hyperlink" Target="http://instagram.com/stephenmccr" TargetMode="External"/><Relationship Id="rId259" Type="http://schemas.openxmlformats.org/officeDocument/2006/relationships/hyperlink" Target="https://twitter.com/ViPER_EAW" TargetMode="External"/><Relationship Id="rId23" Type="http://schemas.openxmlformats.org/officeDocument/2006/relationships/hyperlink" Target="https://twitter.com/BooozyTheClown" TargetMode="External"/><Relationship Id="rId28" Type="http://schemas.openxmlformats.org/officeDocument/2006/relationships/hyperlink" Target="http://instagram.com/butterballs_em6" TargetMode="External"/><Relationship Id="rId49" Type="http://schemas.openxmlformats.org/officeDocument/2006/relationships/hyperlink" Target="http://instagram.com/hhtac88" TargetMode="External"/><Relationship Id="rId114" Type="http://schemas.openxmlformats.org/officeDocument/2006/relationships/hyperlink" Target="https://twitter.com/Hot_Dog41" TargetMode="External"/><Relationship Id="rId119" Type="http://schemas.openxmlformats.org/officeDocument/2006/relationships/hyperlink" Target="https://twitter.com/azkellie" TargetMode="External"/><Relationship Id="rId44" Type="http://schemas.openxmlformats.org/officeDocument/2006/relationships/hyperlink" Target="https://twitter.com/jakejeff" TargetMode="External"/><Relationship Id="rId60" Type="http://schemas.openxmlformats.org/officeDocument/2006/relationships/hyperlink" Target="http://instagram.com/brett_mcdaniel" TargetMode="External"/><Relationship Id="rId65" Type="http://schemas.openxmlformats.org/officeDocument/2006/relationships/hyperlink" Target="https://twitter.com/SteveTheMan_tm" TargetMode="External"/><Relationship Id="rId81" Type="http://schemas.openxmlformats.org/officeDocument/2006/relationships/hyperlink" Target="http://instagram.com/rooster240" TargetMode="External"/><Relationship Id="rId86" Type="http://schemas.openxmlformats.org/officeDocument/2006/relationships/hyperlink" Target="http://instagram.com/steelystevenson" TargetMode="External"/><Relationship Id="rId130" Type="http://schemas.openxmlformats.org/officeDocument/2006/relationships/hyperlink" Target="https://twitter.com/AZ_RedDragon" TargetMode="External"/><Relationship Id="rId135" Type="http://schemas.openxmlformats.org/officeDocument/2006/relationships/hyperlink" Target="https://twitter.com/TonyMcCord" TargetMode="External"/><Relationship Id="rId151" Type="http://schemas.openxmlformats.org/officeDocument/2006/relationships/hyperlink" Target="https://twitter.com/Bourne_Paige" TargetMode="External"/><Relationship Id="rId156" Type="http://schemas.openxmlformats.org/officeDocument/2006/relationships/hyperlink" Target="https://twitter.com/Edgell59_Ethan" TargetMode="External"/><Relationship Id="rId177" Type="http://schemas.openxmlformats.org/officeDocument/2006/relationships/hyperlink" Target="http://instagram.com/phillybobb" TargetMode="External"/><Relationship Id="rId198" Type="http://schemas.openxmlformats.org/officeDocument/2006/relationships/hyperlink" Target="https://twitter.com/DrunkonBabies" TargetMode="External"/><Relationship Id="rId172" Type="http://schemas.openxmlformats.org/officeDocument/2006/relationships/hyperlink" Target="https://twitter.com/CWendenburg" TargetMode="External"/><Relationship Id="rId193" Type="http://schemas.openxmlformats.org/officeDocument/2006/relationships/hyperlink" Target="http://instagram.com/radiotfb" TargetMode="External"/><Relationship Id="rId202" Type="http://schemas.openxmlformats.org/officeDocument/2006/relationships/hyperlink" Target="https://twitter.com/Oldmanfry" TargetMode="External"/><Relationship Id="rId207" Type="http://schemas.openxmlformats.org/officeDocument/2006/relationships/hyperlink" Target="http://instagram.com/SGTwolfknife" TargetMode="External"/><Relationship Id="rId223" Type="http://schemas.openxmlformats.org/officeDocument/2006/relationships/hyperlink" Target="https://twitter.com/FredoWin" TargetMode="External"/><Relationship Id="rId228" Type="http://schemas.openxmlformats.org/officeDocument/2006/relationships/hyperlink" Target="http://instagram.com/missjolenemae" TargetMode="External"/><Relationship Id="rId244" Type="http://schemas.openxmlformats.org/officeDocument/2006/relationships/hyperlink" Target="http://instagram.com/wk_thomas_hayden_chappel" TargetMode="External"/><Relationship Id="rId249" Type="http://schemas.openxmlformats.org/officeDocument/2006/relationships/hyperlink" Target="http://instagram.com/kikkiluvsracing" TargetMode="External"/><Relationship Id="rId13" Type="http://schemas.openxmlformats.org/officeDocument/2006/relationships/hyperlink" Target="http://instagram.com/beefpanther723" TargetMode="External"/><Relationship Id="rId18" Type="http://schemas.openxmlformats.org/officeDocument/2006/relationships/hyperlink" Target="https://twitter.com/testyboy" TargetMode="External"/><Relationship Id="rId39" Type="http://schemas.openxmlformats.org/officeDocument/2006/relationships/hyperlink" Target="http://instagram.com/handycappedommy" TargetMode="External"/><Relationship Id="rId109" Type="http://schemas.openxmlformats.org/officeDocument/2006/relationships/hyperlink" Target="https://twitter.com/AlanLC1979" TargetMode="External"/><Relationship Id="rId260" Type="http://schemas.openxmlformats.org/officeDocument/2006/relationships/hyperlink" Target="http://instagram.com/viper_eaw" TargetMode="External"/><Relationship Id="rId265" Type="http://schemas.openxmlformats.org/officeDocument/2006/relationships/hyperlink" Target="https://twitter.com/Wolfman812" TargetMode="External"/><Relationship Id="rId34" Type="http://schemas.openxmlformats.org/officeDocument/2006/relationships/hyperlink" Target="http://instagram.com/Missy3696" TargetMode="External"/><Relationship Id="rId50" Type="http://schemas.openxmlformats.org/officeDocument/2006/relationships/hyperlink" Target="http://instagram.com/stephiez88" TargetMode="External"/><Relationship Id="rId55" Type="http://schemas.openxmlformats.org/officeDocument/2006/relationships/hyperlink" Target="https://twitter.com/Br3akpad" TargetMode="External"/><Relationship Id="rId76" Type="http://schemas.openxmlformats.org/officeDocument/2006/relationships/hyperlink" Target="http://instagram.com/dutch_rds" TargetMode="External"/><Relationship Id="rId97" Type="http://schemas.openxmlformats.org/officeDocument/2006/relationships/hyperlink" Target="https://twitter.com/BadChad1968" TargetMode="External"/><Relationship Id="rId104" Type="http://schemas.openxmlformats.org/officeDocument/2006/relationships/hyperlink" Target="https://twitter.com/ReynMuthaFucka/" TargetMode="External"/><Relationship Id="rId120" Type="http://schemas.openxmlformats.org/officeDocument/2006/relationships/hyperlink" Target="http://instagram.com/azkellie" TargetMode="External"/><Relationship Id="rId125" Type="http://schemas.openxmlformats.org/officeDocument/2006/relationships/hyperlink" Target="https://twitter.com/leebunting" TargetMode="External"/><Relationship Id="rId141" Type="http://schemas.openxmlformats.org/officeDocument/2006/relationships/hyperlink" Target="https://twitter.com/Meaty_OZ" TargetMode="External"/><Relationship Id="rId146" Type="http://schemas.openxmlformats.org/officeDocument/2006/relationships/hyperlink" Target="http://instagram.com/MikeInCanada_" TargetMode="External"/><Relationship Id="rId167" Type="http://schemas.openxmlformats.org/officeDocument/2006/relationships/hyperlink" Target="http://instagram.com/overgrownseamonkey" TargetMode="External"/><Relationship Id="rId188" Type="http://schemas.openxmlformats.org/officeDocument/2006/relationships/hyperlink" Target="https://twitter.com/jaymzmurphy" TargetMode="External"/><Relationship Id="rId7" Type="http://schemas.openxmlformats.org/officeDocument/2006/relationships/hyperlink" Target="https://twitter.com/Treversuko" TargetMode="External"/><Relationship Id="rId71" Type="http://schemas.openxmlformats.org/officeDocument/2006/relationships/hyperlink" Target="https://twitter.com/thegooser" TargetMode="External"/><Relationship Id="rId92" Type="http://schemas.openxmlformats.org/officeDocument/2006/relationships/hyperlink" Target="http://instagram.com/fuckasaurus_wolfknives" TargetMode="External"/><Relationship Id="rId162" Type="http://schemas.openxmlformats.org/officeDocument/2006/relationships/hyperlink" Target="https://twitter.com/J_GRAY1" TargetMode="External"/><Relationship Id="rId183" Type="http://schemas.openxmlformats.org/officeDocument/2006/relationships/hyperlink" Target="http://instagram.com/walkerman75" TargetMode="External"/><Relationship Id="rId213" Type="http://schemas.openxmlformats.org/officeDocument/2006/relationships/hyperlink" Target="https://twitter.com/Soccovitch" TargetMode="External"/><Relationship Id="rId218" Type="http://schemas.openxmlformats.org/officeDocument/2006/relationships/hyperlink" Target="https://twitter.com/ErikStene" TargetMode="External"/><Relationship Id="rId234" Type="http://schemas.openxmlformats.org/officeDocument/2006/relationships/hyperlink" Target="https://twitter.com/blasko1313" TargetMode="External"/><Relationship Id="rId239" Type="http://schemas.openxmlformats.org/officeDocument/2006/relationships/hyperlink" Target="https://twitter.com/Sabotage70" TargetMode="External"/><Relationship Id="rId2" Type="http://schemas.openxmlformats.org/officeDocument/2006/relationships/hyperlink" Target="https://twitter.com/ERiCtheBuLL" TargetMode="External"/><Relationship Id="rId29" Type="http://schemas.openxmlformats.org/officeDocument/2006/relationships/hyperlink" Target="http://instagram.com/rdscowboy" TargetMode="External"/><Relationship Id="rId250" Type="http://schemas.openxmlformats.org/officeDocument/2006/relationships/hyperlink" Target="https://twitter.com/atmbcool" TargetMode="External"/><Relationship Id="rId255" Type="http://schemas.openxmlformats.org/officeDocument/2006/relationships/hyperlink" Target="https://twitter.com/tubeinspecter" TargetMode="External"/><Relationship Id="rId24" Type="http://schemas.openxmlformats.org/officeDocument/2006/relationships/hyperlink" Target="http://instagram.com/BooozyTheClown" TargetMode="External"/><Relationship Id="rId40" Type="http://schemas.openxmlformats.org/officeDocument/2006/relationships/hyperlink" Target="https://twitter.com/CRAZYJERR" TargetMode="External"/><Relationship Id="rId45" Type="http://schemas.openxmlformats.org/officeDocument/2006/relationships/hyperlink" Target="http://instagram.com/jakejeff78" TargetMode="External"/><Relationship Id="rId66" Type="http://schemas.openxmlformats.org/officeDocument/2006/relationships/hyperlink" Target="http://instagram.com/stevetheman_tm" TargetMode="External"/><Relationship Id="rId87" Type="http://schemas.openxmlformats.org/officeDocument/2006/relationships/hyperlink" Target="https://twitter.com/FonzoBlunt" TargetMode="External"/><Relationship Id="rId110" Type="http://schemas.openxmlformats.org/officeDocument/2006/relationships/hyperlink" Target="http://instagram.com/AlanLC1979" TargetMode="External"/><Relationship Id="rId115" Type="http://schemas.openxmlformats.org/officeDocument/2006/relationships/hyperlink" Target="http://instagram.com/hotdog_theintern" TargetMode="External"/><Relationship Id="rId131" Type="http://schemas.openxmlformats.org/officeDocument/2006/relationships/hyperlink" Target="http://instagram.com/az_reddragon/" TargetMode="External"/><Relationship Id="rId136" Type="http://schemas.openxmlformats.org/officeDocument/2006/relationships/hyperlink" Target="http://instagram.com/anthonymccord" TargetMode="External"/><Relationship Id="rId157" Type="http://schemas.openxmlformats.org/officeDocument/2006/relationships/hyperlink" Target="http://instagram.com/ninjaflyingedgell" TargetMode="External"/><Relationship Id="rId178" Type="http://schemas.openxmlformats.org/officeDocument/2006/relationships/hyperlink" Target="https://twitter.com/JasonFromSD" TargetMode="External"/><Relationship Id="rId61" Type="http://schemas.openxmlformats.org/officeDocument/2006/relationships/hyperlink" Target="https://twitter.com/19mitchs88" TargetMode="External"/><Relationship Id="rId82" Type="http://schemas.openxmlformats.org/officeDocument/2006/relationships/hyperlink" Target="https://twitter.com/ihatecumfat" TargetMode="External"/><Relationship Id="rId152" Type="http://schemas.openxmlformats.org/officeDocument/2006/relationships/hyperlink" Target="http://instagram.com/bourne_paige" TargetMode="External"/><Relationship Id="rId173" Type="http://schemas.openxmlformats.org/officeDocument/2006/relationships/hyperlink" Target="http://instagram.com/taugen" TargetMode="External"/><Relationship Id="rId194" Type="http://schemas.openxmlformats.org/officeDocument/2006/relationships/hyperlink" Target="http://instagram.com/aj_slagan" TargetMode="External"/><Relationship Id="rId199" Type="http://schemas.openxmlformats.org/officeDocument/2006/relationships/hyperlink" Target="http://instagram.com/drunkonbabies" TargetMode="External"/><Relationship Id="rId203" Type="http://schemas.openxmlformats.org/officeDocument/2006/relationships/hyperlink" Target="http://instagram.com/oldmanfry" TargetMode="External"/><Relationship Id="rId208" Type="http://schemas.openxmlformats.org/officeDocument/2006/relationships/hyperlink" Target="http://instagram.com/wolffire12" TargetMode="External"/><Relationship Id="rId229" Type="http://schemas.openxmlformats.org/officeDocument/2006/relationships/hyperlink" Target="https://twitter.com/Cullensaidthis" TargetMode="External"/><Relationship Id="rId19" Type="http://schemas.openxmlformats.org/officeDocument/2006/relationships/hyperlink" Target="http://instagram.com/Testyboy" TargetMode="External"/><Relationship Id="rId224" Type="http://schemas.openxmlformats.org/officeDocument/2006/relationships/hyperlink" Target="http://instagram.com/summer_pasta" TargetMode="External"/><Relationship Id="rId240" Type="http://schemas.openxmlformats.org/officeDocument/2006/relationships/hyperlink" Target="http://instagram.com/Sabotage70" TargetMode="External"/><Relationship Id="rId245" Type="http://schemas.openxmlformats.org/officeDocument/2006/relationships/hyperlink" Target="https://twitter.com/cdika17" TargetMode="External"/><Relationship Id="rId261" Type="http://schemas.openxmlformats.org/officeDocument/2006/relationships/hyperlink" Target="https://twitter.com/MaddTrippNz" TargetMode="External"/><Relationship Id="rId266" Type="http://schemas.openxmlformats.org/officeDocument/2006/relationships/hyperlink" Target="http://instagram.com/wolfman812" TargetMode="External"/><Relationship Id="rId14" Type="http://schemas.openxmlformats.org/officeDocument/2006/relationships/hyperlink" Target="https://twitter.com/bitPimps" TargetMode="External"/><Relationship Id="rId30" Type="http://schemas.openxmlformats.org/officeDocument/2006/relationships/hyperlink" Target="https://twitter.com/geraldpringle" TargetMode="External"/><Relationship Id="rId35" Type="http://schemas.openxmlformats.org/officeDocument/2006/relationships/hyperlink" Target="https://twitter.com/Fngr_Xpressions" TargetMode="External"/><Relationship Id="rId56" Type="http://schemas.openxmlformats.org/officeDocument/2006/relationships/hyperlink" Target="http://instagram.com/br3akpad" TargetMode="External"/><Relationship Id="rId77" Type="http://schemas.openxmlformats.org/officeDocument/2006/relationships/hyperlink" Target="https://twitter.com/jizzay_klitt" TargetMode="External"/><Relationship Id="rId100" Type="http://schemas.openxmlformats.org/officeDocument/2006/relationships/hyperlink" Target="https://twitter.com/mariocc_rds" TargetMode="External"/><Relationship Id="rId105" Type="http://schemas.openxmlformats.org/officeDocument/2006/relationships/hyperlink" Target="http://instagram.com/ReynMuthaFucka" TargetMode="External"/><Relationship Id="rId126" Type="http://schemas.openxmlformats.org/officeDocument/2006/relationships/hyperlink" Target="http://instagram.com/leebunting" TargetMode="External"/><Relationship Id="rId147" Type="http://schemas.openxmlformats.org/officeDocument/2006/relationships/hyperlink" Target="https://twitter.com/ridewithtim" TargetMode="External"/><Relationship Id="rId168" Type="http://schemas.openxmlformats.org/officeDocument/2006/relationships/hyperlink" Target="https://twitter.com/Tarfugaming" TargetMode="External"/><Relationship Id="rId8" Type="http://schemas.openxmlformats.org/officeDocument/2006/relationships/hyperlink" Target="https://twitter.com/bowski477" TargetMode="External"/><Relationship Id="rId51" Type="http://schemas.openxmlformats.org/officeDocument/2006/relationships/hyperlink" Target="https://twitter.com/DougRob70" TargetMode="External"/><Relationship Id="rId72" Type="http://schemas.openxmlformats.org/officeDocument/2006/relationships/hyperlink" Target="http://instagram.com/thegooser1" TargetMode="External"/><Relationship Id="rId93" Type="http://schemas.openxmlformats.org/officeDocument/2006/relationships/hyperlink" Target="https://twitter.com/dcucowboy" TargetMode="External"/><Relationship Id="rId98" Type="http://schemas.openxmlformats.org/officeDocument/2006/relationships/hyperlink" Target="http://instagram.com/goatthroatx" TargetMode="External"/><Relationship Id="rId121" Type="http://schemas.openxmlformats.org/officeDocument/2006/relationships/hyperlink" Target="https://twitter.com/mauibry" TargetMode="External"/><Relationship Id="rId142" Type="http://schemas.openxmlformats.org/officeDocument/2006/relationships/hyperlink" Target="http://instagram.com/Meaty_oz" TargetMode="External"/><Relationship Id="rId163" Type="http://schemas.openxmlformats.org/officeDocument/2006/relationships/hyperlink" Target="http://instagram.com/shade_of_gray" TargetMode="External"/><Relationship Id="rId184" Type="http://schemas.openxmlformats.org/officeDocument/2006/relationships/hyperlink" Target="http://instagram.com/presidentdeath" TargetMode="External"/><Relationship Id="rId189" Type="http://schemas.openxmlformats.org/officeDocument/2006/relationships/hyperlink" Target="https://twitter.com/rainmanrds" TargetMode="External"/><Relationship Id="rId219" Type="http://schemas.openxmlformats.org/officeDocument/2006/relationships/hyperlink" Target="http://instagram.com/gore_d" TargetMode="External"/><Relationship Id="rId3" Type="http://schemas.openxmlformats.org/officeDocument/2006/relationships/hyperlink" Target="http://instagram.com/ericthebull" TargetMode="External"/><Relationship Id="rId214" Type="http://schemas.openxmlformats.org/officeDocument/2006/relationships/hyperlink" Target="http://instagram.com/soccovitch" TargetMode="External"/><Relationship Id="rId230" Type="http://schemas.openxmlformats.org/officeDocument/2006/relationships/hyperlink" Target="http://instagram.com/cullensaidthis/" TargetMode="External"/><Relationship Id="rId235" Type="http://schemas.openxmlformats.org/officeDocument/2006/relationships/hyperlink" Target="http://instagram.com/blasko1313" TargetMode="External"/><Relationship Id="rId251" Type="http://schemas.openxmlformats.org/officeDocument/2006/relationships/hyperlink" Target="http://instagram.com/tripletee" TargetMode="External"/><Relationship Id="rId256" Type="http://schemas.openxmlformats.org/officeDocument/2006/relationships/hyperlink" Target="http://instagram.com/tubinspecter" TargetMode="External"/><Relationship Id="rId25" Type="http://schemas.openxmlformats.org/officeDocument/2006/relationships/hyperlink" Target="https://twitter.com/blotocki" TargetMode="External"/><Relationship Id="rId46" Type="http://schemas.openxmlformats.org/officeDocument/2006/relationships/hyperlink" Target="https://twitter.com/KevinKraftSucks" TargetMode="External"/><Relationship Id="rId67" Type="http://schemas.openxmlformats.org/officeDocument/2006/relationships/hyperlink" Target="https://twitter.com/KEITHMODE" TargetMode="External"/><Relationship Id="rId116" Type="http://schemas.openxmlformats.org/officeDocument/2006/relationships/hyperlink" Target="https://twitter.com/Hyena_Fist" TargetMode="External"/><Relationship Id="rId137" Type="http://schemas.openxmlformats.org/officeDocument/2006/relationships/hyperlink" Target="https://twitter.com/DraXsiS_Rocker" TargetMode="External"/><Relationship Id="rId158" Type="http://schemas.openxmlformats.org/officeDocument/2006/relationships/hyperlink" Target="https://twitter.com/AmeralReid" TargetMode="External"/><Relationship Id="rId20" Type="http://schemas.openxmlformats.org/officeDocument/2006/relationships/hyperlink" Target="https://twitter.com/rrrredragons" TargetMode="External"/><Relationship Id="rId41" Type="http://schemas.openxmlformats.org/officeDocument/2006/relationships/hyperlink" Target="http://instagram.com/CRAZYJERR" TargetMode="External"/><Relationship Id="rId62" Type="http://schemas.openxmlformats.org/officeDocument/2006/relationships/hyperlink" Target="http://instagram.com/19mitchs88" TargetMode="External"/><Relationship Id="rId83" Type="http://schemas.openxmlformats.org/officeDocument/2006/relationships/hyperlink" Target="https://twitter.com/adamb2001" TargetMode="External"/><Relationship Id="rId88" Type="http://schemas.openxmlformats.org/officeDocument/2006/relationships/hyperlink" Target="http://instagram.com/fonzoblunt" TargetMode="External"/><Relationship Id="rId111" Type="http://schemas.openxmlformats.org/officeDocument/2006/relationships/hyperlink" Target="https://twitter.com/MandyRiese" TargetMode="External"/><Relationship Id="rId132" Type="http://schemas.openxmlformats.org/officeDocument/2006/relationships/hyperlink" Target="https://twitter.com/PaulM138666" TargetMode="External"/><Relationship Id="rId153" Type="http://schemas.openxmlformats.org/officeDocument/2006/relationships/hyperlink" Target="https://twitter.com/Bafsnow" TargetMode="External"/><Relationship Id="rId174" Type="http://schemas.openxmlformats.org/officeDocument/2006/relationships/hyperlink" Target="https://twitter.com/need_rehab" TargetMode="External"/><Relationship Id="rId179" Type="http://schemas.openxmlformats.org/officeDocument/2006/relationships/hyperlink" Target="http://instagram.com/jasonbehnke" TargetMode="External"/><Relationship Id="rId195" Type="http://schemas.openxmlformats.org/officeDocument/2006/relationships/hyperlink" Target="http://instagram.com/jordanstrange666/" TargetMode="External"/><Relationship Id="rId209" Type="http://schemas.openxmlformats.org/officeDocument/2006/relationships/hyperlink" Target="https://twitter.com/shit_toboggan" TargetMode="External"/><Relationship Id="rId190" Type="http://schemas.openxmlformats.org/officeDocument/2006/relationships/hyperlink" Target="http://instagram.com/rainmanrds" TargetMode="External"/><Relationship Id="rId204" Type="http://schemas.openxmlformats.org/officeDocument/2006/relationships/hyperlink" Target="https://twitter.com/emilyinSD" TargetMode="External"/><Relationship Id="rId220" Type="http://schemas.openxmlformats.org/officeDocument/2006/relationships/hyperlink" Target="https://twitter.com/stapleneck" TargetMode="External"/><Relationship Id="rId225" Type="http://schemas.openxmlformats.org/officeDocument/2006/relationships/hyperlink" Target="https://twitter.com/possiblytully" TargetMode="External"/><Relationship Id="rId241" Type="http://schemas.openxmlformats.org/officeDocument/2006/relationships/hyperlink" Target="https://twitter.com/TheWoodswoman" TargetMode="External"/><Relationship Id="rId246" Type="http://schemas.openxmlformats.org/officeDocument/2006/relationships/hyperlink" Target="https://twitter.com/webes44" TargetMode="External"/><Relationship Id="rId267" Type="http://schemas.openxmlformats.org/officeDocument/2006/relationships/hyperlink" Target="https://twitter.com/EllisMate" TargetMode="External"/><Relationship Id="rId15" Type="http://schemas.openxmlformats.org/officeDocument/2006/relationships/hyperlink" Target="http://instagram.com/bitpimps" TargetMode="External"/><Relationship Id="rId36" Type="http://schemas.openxmlformats.org/officeDocument/2006/relationships/hyperlink" Target="https://twitter.com/clubhousandwich" TargetMode="External"/><Relationship Id="rId57" Type="http://schemas.openxmlformats.org/officeDocument/2006/relationships/hyperlink" Target="https://twitter.com/deelove55" TargetMode="External"/><Relationship Id="rId106" Type="http://schemas.openxmlformats.org/officeDocument/2006/relationships/hyperlink" Target="https://twitter.com/Harry_Poppins_" TargetMode="External"/><Relationship Id="rId127" Type="http://schemas.openxmlformats.org/officeDocument/2006/relationships/hyperlink" Target="http://instagram.com/deadletters/" TargetMode="External"/><Relationship Id="rId262" Type="http://schemas.openxmlformats.org/officeDocument/2006/relationships/hyperlink" Target="https://twitter.com/frontline1" TargetMode="External"/><Relationship Id="rId10" Type="http://schemas.openxmlformats.org/officeDocument/2006/relationships/hyperlink" Target="https://twitter.com/Marasta76" TargetMode="External"/><Relationship Id="rId31" Type="http://schemas.openxmlformats.org/officeDocument/2006/relationships/hyperlink" Target="http://instagram.com/geraldpringle" TargetMode="External"/><Relationship Id="rId52" Type="http://schemas.openxmlformats.org/officeDocument/2006/relationships/hyperlink" Target="http://instagram.com/dougrob70" TargetMode="External"/><Relationship Id="rId73" Type="http://schemas.openxmlformats.org/officeDocument/2006/relationships/hyperlink" Target="https://twitter.com/Richybang" TargetMode="External"/><Relationship Id="rId78" Type="http://schemas.openxmlformats.org/officeDocument/2006/relationships/hyperlink" Target="http://instagram.com/jizzay_klitt" TargetMode="External"/><Relationship Id="rId94" Type="http://schemas.openxmlformats.org/officeDocument/2006/relationships/hyperlink" Target="http://instagram.com/evanr88" TargetMode="External"/><Relationship Id="rId99" Type="http://schemas.openxmlformats.org/officeDocument/2006/relationships/hyperlink" Target="https://twitter.com/mmmluckylager" TargetMode="External"/><Relationship Id="rId101" Type="http://schemas.openxmlformats.org/officeDocument/2006/relationships/hyperlink" Target="http://instagram.com/mar1o_rds" TargetMode="External"/><Relationship Id="rId122" Type="http://schemas.openxmlformats.org/officeDocument/2006/relationships/hyperlink" Target="http://instagram.com/mauibry" TargetMode="External"/><Relationship Id="rId143" Type="http://schemas.openxmlformats.org/officeDocument/2006/relationships/hyperlink" Target="https://twitter.com/bigmig214" TargetMode="External"/><Relationship Id="rId148" Type="http://schemas.openxmlformats.org/officeDocument/2006/relationships/hyperlink" Target="http://instagram.com/ridewithtim" TargetMode="External"/><Relationship Id="rId164" Type="http://schemas.openxmlformats.org/officeDocument/2006/relationships/hyperlink" Target="https://twitter.com/Saveit4thewar" TargetMode="External"/><Relationship Id="rId169" Type="http://schemas.openxmlformats.org/officeDocument/2006/relationships/hyperlink" Target="http://instagram.com/tarfugaming" TargetMode="External"/><Relationship Id="rId185" Type="http://schemas.openxmlformats.org/officeDocument/2006/relationships/hyperlink" Target="https://twitter.com/curbjobjason" TargetMode="External"/><Relationship Id="rId4" Type="http://schemas.openxmlformats.org/officeDocument/2006/relationships/hyperlink" Target="https://twitter.com/avenne6" TargetMode="External"/><Relationship Id="rId9" Type="http://schemas.openxmlformats.org/officeDocument/2006/relationships/hyperlink" Target="http://instagram.com/bowski477" TargetMode="External"/><Relationship Id="rId180" Type="http://schemas.openxmlformats.org/officeDocument/2006/relationships/hyperlink" Target="https://twitter.com/wk_PoorBastard" TargetMode="External"/><Relationship Id="rId210" Type="http://schemas.openxmlformats.org/officeDocument/2006/relationships/hyperlink" Target="http://instagram.com/shit.toboggan" TargetMode="External"/><Relationship Id="rId215" Type="http://schemas.openxmlformats.org/officeDocument/2006/relationships/hyperlink" Target="https://twitter.com/spaseghost" TargetMode="External"/><Relationship Id="rId236" Type="http://schemas.openxmlformats.org/officeDocument/2006/relationships/hyperlink" Target="http://instagram.com/truechief77" TargetMode="External"/><Relationship Id="rId257" Type="http://schemas.openxmlformats.org/officeDocument/2006/relationships/hyperlink" Target="https://twitter.com/TwistedMetalFab" TargetMode="External"/><Relationship Id="rId26" Type="http://schemas.openxmlformats.org/officeDocument/2006/relationships/hyperlink" Target="http://instagram.com/blotocki" TargetMode="External"/><Relationship Id="rId231" Type="http://schemas.openxmlformats.org/officeDocument/2006/relationships/hyperlink" Target="https://twitter.com/bombsnuffer" TargetMode="External"/><Relationship Id="rId252" Type="http://schemas.openxmlformats.org/officeDocument/2006/relationships/hyperlink" Target="https://twitter.com/cantskateanymre" TargetMode="External"/><Relationship Id="rId47" Type="http://schemas.openxmlformats.org/officeDocument/2006/relationships/hyperlink" Target="http://instagram.com/kevinkraft/" TargetMode="External"/><Relationship Id="rId68" Type="http://schemas.openxmlformats.org/officeDocument/2006/relationships/hyperlink" Target="http://instagram.com/keithmode" TargetMode="External"/><Relationship Id="rId89" Type="http://schemas.openxmlformats.org/officeDocument/2006/relationships/hyperlink" Target="https://twitter.com/KimDultz" TargetMode="External"/><Relationship Id="rId112" Type="http://schemas.openxmlformats.org/officeDocument/2006/relationships/hyperlink" Target="http://instagram.com/mandyriese" TargetMode="External"/><Relationship Id="rId133" Type="http://schemas.openxmlformats.org/officeDocument/2006/relationships/hyperlink" Target="https://twitter.com/mighty_boognish" TargetMode="External"/><Relationship Id="rId154" Type="http://schemas.openxmlformats.org/officeDocument/2006/relationships/hyperlink" Target="http://instagram.com/b.a.f.snow" TargetMode="External"/><Relationship Id="rId175" Type="http://schemas.openxmlformats.org/officeDocument/2006/relationships/hyperlink" Target="http://instagram.com/alberthiaume" TargetMode="External"/><Relationship Id="rId196" Type="http://schemas.openxmlformats.org/officeDocument/2006/relationships/hyperlink" Target="https://twitter.com/Cainester" TargetMode="External"/><Relationship Id="rId200" Type="http://schemas.openxmlformats.org/officeDocument/2006/relationships/hyperlink" Target="https://twitter.com/toms3051" TargetMode="External"/><Relationship Id="rId16" Type="http://schemas.openxmlformats.org/officeDocument/2006/relationships/hyperlink" Target="https://twitter.com/cogdeth" TargetMode="External"/><Relationship Id="rId221" Type="http://schemas.openxmlformats.org/officeDocument/2006/relationships/hyperlink" Target="http://instagram.com/stapleneck" TargetMode="External"/><Relationship Id="rId242" Type="http://schemas.openxmlformats.org/officeDocument/2006/relationships/hyperlink" Target="http://instagram.com/thewoodswoman" TargetMode="External"/><Relationship Id="rId263" Type="http://schemas.openxmlformats.org/officeDocument/2006/relationships/hyperlink" Target="https://twitter.com/fm_fan2012" TargetMode="External"/><Relationship Id="rId37" Type="http://schemas.openxmlformats.org/officeDocument/2006/relationships/hyperlink" Target="http://instagram.com/clubhousesandwich" TargetMode="External"/><Relationship Id="rId58" Type="http://schemas.openxmlformats.org/officeDocument/2006/relationships/hyperlink" Target="https://twitter.com/jdscully" TargetMode="External"/><Relationship Id="rId79" Type="http://schemas.openxmlformats.org/officeDocument/2006/relationships/hyperlink" Target="http://instagram.com/elephant_dick" TargetMode="External"/><Relationship Id="rId102" Type="http://schemas.openxmlformats.org/officeDocument/2006/relationships/hyperlink" Target="https://twitter.com/grumpiehmt" TargetMode="External"/><Relationship Id="rId123" Type="http://schemas.openxmlformats.org/officeDocument/2006/relationships/hyperlink" Target="https://twitter.com/RadioJetta" TargetMode="External"/><Relationship Id="rId144" Type="http://schemas.openxmlformats.org/officeDocument/2006/relationships/hyperlink" Target="http://instagram.com/bigmig214" TargetMode="External"/><Relationship Id="rId90" Type="http://schemas.openxmlformats.org/officeDocument/2006/relationships/hyperlink" Target="http://instagram.com/kimdultz" TargetMode="External"/><Relationship Id="rId165" Type="http://schemas.openxmlformats.org/officeDocument/2006/relationships/hyperlink" Target="http://instagram.com/delahoya_rds" TargetMode="External"/><Relationship Id="rId186" Type="http://schemas.openxmlformats.org/officeDocument/2006/relationships/hyperlink" Target="https://twitter.com/snakel87" TargetMode="External"/><Relationship Id="rId211" Type="http://schemas.openxmlformats.org/officeDocument/2006/relationships/hyperlink" Target="https://twitter.com/sleepyjoe_RDS" TargetMode="External"/><Relationship Id="rId232" Type="http://schemas.openxmlformats.org/officeDocument/2006/relationships/hyperlink" Target="http://instagram.com/zachzachzach_" TargetMode="External"/><Relationship Id="rId253" Type="http://schemas.openxmlformats.org/officeDocument/2006/relationships/hyperlink" Target="http://instagram.com/cantsk8rds" TargetMode="External"/><Relationship Id="rId27" Type="http://schemas.openxmlformats.org/officeDocument/2006/relationships/hyperlink" Target="https://twitter.com/Butterballs_EM6" TargetMode="External"/><Relationship Id="rId48" Type="http://schemas.openxmlformats.org/officeDocument/2006/relationships/hyperlink" Target="https://twitter.com/Guitar455" TargetMode="External"/><Relationship Id="rId69" Type="http://schemas.openxmlformats.org/officeDocument/2006/relationships/hyperlink" Target="https://twitter.com/donk3900" TargetMode="External"/><Relationship Id="rId113" Type="http://schemas.openxmlformats.org/officeDocument/2006/relationships/hyperlink" Target="https://twitter.com/puttyman5000" TargetMode="External"/><Relationship Id="rId134" Type="http://schemas.openxmlformats.org/officeDocument/2006/relationships/hyperlink" Target="http://instagram.com/themightyboognish" TargetMode="External"/><Relationship Id="rId80" Type="http://schemas.openxmlformats.org/officeDocument/2006/relationships/hyperlink" Target="https://twitter.com/anthony__knight" TargetMode="External"/><Relationship Id="rId155" Type="http://schemas.openxmlformats.org/officeDocument/2006/relationships/hyperlink" Target="https://twitter.com/Rossetti702" TargetMode="External"/><Relationship Id="rId176" Type="http://schemas.openxmlformats.org/officeDocument/2006/relationships/hyperlink" Target="http://instagram.com/Philthiest" TargetMode="External"/><Relationship Id="rId197" Type="http://schemas.openxmlformats.org/officeDocument/2006/relationships/hyperlink" Target="http://instagram.com/cainester" TargetMode="External"/><Relationship Id="rId201" Type="http://schemas.openxmlformats.org/officeDocument/2006/relationships/hyperlink" Target="http://instagram.com/Tom295" TargetMode="External"/><Relationship Id="rId222" Type="http://schemas.openxmlformats.org/officeDocument/2006/relationships/hyperlink" Target="http://instagram.com/t_wreck" TargetMode="External"/><Relationship Id="rId243" Type="http://schemas.openxmlformats.org/officeDocument/2006/relationships/hyperlink" Target="https://twitter.com/J_Chappel" TargetMode="External"/><Relationship Id="rId264" Type="http://schemas.openxmlformats.org/officeDocument/2006/relationships/hyperlink" Target="http://instagram.com/pdx_fan" TargetMode="External"/><Relationship Id="rId17" Type="http://schemas.openxmlformats.org/officeDocument/2006/relationships/hyperlink" Target="http://instagram.com/cogdeth" TargetMode="External"/><Relationship Id="rId38" Type="http://schemas.openxmlformats.org/officeDocument/2006/relationships/hyperlink" Target="https://twitter.com/HandyCappedommy" TargetMode="External"/><Relationship Id="rId59" Type="http://schemas.openxmlformats.org/officeDocument/2006/relationships/hyperlink" Target="http://instagram.com/jdscully95" TargetMode="External"/><Relationship Id="rId103" Type="http://schemas.openxmlformats.org/officeDocument/2006/relationships/hyperlink" Target="http://instagram.com/grumpiehmt" TargetMode="External"/><Relationship Id="rId124" Type="http://schemas.openxmlformats.org/officeDocument/2006/relationships/hyperlink" Target="http://instagram.com/radiojetta" TargetMode="External"/><Relationship Id="rId70" Type="http://schemas.openxmlformats.org/officeDocument/2006/relationships/hyperlink" Target="http://instagram.com/tjh133" TargetMode="External"/><Relationship Id="rId91" Type="http://schemas.openxmlformats.org/officeDocument/2006/relationships/hyperlink" Target="https://twitter.com/Fuckasaurus_RDS" TargetMode="External"/><Relationship Id="rId145" Type="http://schemas.openxmlformats.org/officeDocument/2006/relationships/hyperlink" Target="https://twitter.com/mike_in_canada" TargetMode="External"/><Relationship Id="rId166" Type="http://schemas.openxmlformats.org/officeDocument/2006/relationships/hyperlink" Target="https://twitter.com/Jeff_H8R" TargetMode="External"/><Relationship Id="rId187" Type="http://schemas.openxmlformats.org/officeDocument/2006/relationships/hyperlink" Target="http://instagram.com/snakel87" TargetMode="External"/><Relationship Id="rId1" Type="http://schemas.openxmlformats.org/officeDocument/2006/relationships/hyperlink" Target="http://www.officialjasonellis.com/" TargetMode="External"/><Relationship Id="rId212" Type="http://schemas.openxmlformats.org/officeDocument/2006/relationships/hyperlink" Target="http://instagram.com/sleepyjoepo" TargetMode="External"/><Relationship Id="rId233" Type="http://schemas.openxmlformats.org/officeDocument/2006/relationships/hyperlink" Target="http://instagram.com/mrjinkzd" TargetMode="External"/><Relationship Id="rId254" Type="http://schemas.openxmlformats.org/officeDocument/2006/relationships/hyperlink" Target="https://twitter.com/Truk_Norr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3"/>
  <sheetViews>
    <sheetView tabSelected="1" workbookViewId="0">
      <pane ySplit="1" topLeftCell="A2" activePane="bottomLeft" state="frozen"/>
      <selection pane="bottomLeft" activeCell="A2" sqref="A2:A583"/>
    </sheetView>
  </sheetViews>
  <sheetFormatPr defaultColWidth="14.42578125" defaultRowHeight="15.75" customHeight="1" x14ac:dyDescent="0.2"/>
  <cols>
    <col min="2" max="2" width="13.7109375" customWidth="1"/>
    <col min="3" max="3" width="14.5703125" customWidth="1"/>
    <col min="4" max="4" width="29.140625" customWidth="1"/>
    <col min="5" max="5" width="19.140625" customWidth="1"/>
    <col min="6" max="6" width="24.85546875" customWidth="1"/>
    <col min="7" max="7" width="17" customWidth="1"/>
    <col min="8" max="8" width="18.140625" customWidth="1"/>
    <col min="9" max="9" width="24.5703125" customWidth="1"/>
    <col min="10" max="10" width="25" customWidth="1"/>
  </cols>
  <sheetData>
    <row r="1" spans="1:11" ht="15" customHeight="1" x14ac:dyDescent="0.2">
      <c r="A1" t="s">
        <v>2046</v>
      </c>
      <c r="B1" s="1" t="s">
        <v>1</v>
      </c>
      <c r="C1" s="1" t="s">
        <v>2</v>
      </c>
      <c r="D1" s="1" t="s">
        <v>0</v>
      </c>
      <c r="E1" s="1" t="s">
        <v>4</v>
      </c>
      <c r="F1" s="1" t="s">
        <v>5</v>
      </c>
      <c r="G1" s="2" t="str">
        <f>HYPERLINK("http://www.officialjasonellis.com","OJE.com")</f>
        <v>OJE.com</v>
      </c>
      <c r="H1" s="1" t="s">
        <v>3</v>
      </c>
      <c r="I1" s="1" t="s">
        <v>6</v>
      </c>
      <c r="J1" s="1" t="s">
        <v>7</v>
      </c>
      <c r="K1" s="1" t="s">
        <v>2045</v>
      </c>
    </row>
    <row r="2" spans="1:11" ht="12.75" x14ac:dyDescent="0.2">
      <c r="A2">
        <v>1</v>
      </c>
      <c r="B2" s="3" t="s">
        <v>9</v>
      </c>
      <c r="C2" s="3"/>
      <c r="D2" s="3" t="s">
        <v>8</v>
      </c>
      <c r="E2" s="4" t="str">
        <f>HYPERLINK("https://twitter.com/ERiCtheBuLL","@ericthebull")</f>
        <v>@ericthebull</v>
      </c>
      <c r="F2" s="4" t="str">
        <f>HYPERLINK("http://instagram.com/ericthebull","@ericthebull")</f>
        <v>@ericthebull</v>
      </c>
      <c r="G2" s="5"/>
      <c r="H2" s="3" t="s">
        <v>10</v>
      </c>
      <c r="I2" s="3" t="s">
        <v>11</v>
      </c>
      <c r="J2" s="5"/>
      <c r="K2">
        <v>1</v>
      </c>
    </row>
    <row r="3" spans="1:11" ht="12.75" x14ac:dyDescent="0.2">
      <c r="A3">
        <v>2</v>
      </c>
      <c r="B3" s="6" t="s">
        <v>13</v>
      </c>
      <c r="C3" s="6" t="s">
        <v>14</v>
      </c>
      <c r="D3" s="6" t="s">
        <v>12</v>
      </c>
      <c r="E3" s="7"/>
      <c r="F3" s="7"/>
      <c r="G3" s="7"/>
      <c r="H3" s="7"/>
      <c r="I3" s="7"/>
      <c r="J3" s="7"/>
      <c r="K3">
        <v>1</v>
      </c>
    </row>
    <row r="4" spans="1:11" ht="12.75" x14ac:dyDescent="0.2">
      <c r="A4">
        <v>3</v>
      </c>
      <c r="B4" s="6" t="s">
        <v>16</v>
      </c>
      <c r="C4" s="6" t="s">
        <v>17</v>
      </c>
      <c r="D4" s="6" t="s">
        <v>15</v>
      </c>
      <c r="E4" s="7"/>
      <c r="F4" s="7"/>
      <c r="G4" s="7"/>
      <c r="H4" s="7"/>
      <c r="I4" s="7"/>
      <c r="J4" s="7"/>
      <c r="K4">
        <v>1</v>
      </c>
    </row>
    <row r="5" spans="1:11" ht="12.75" x14ac:dyDescent="0.2">
      <c r="A5">
        <v>4</v>
      </c>
      <c r="B5" s="6" t="s">
        <v>19</v>
      </c>
      <c r="C5" s="6" t="s">
        <v>20</v>
      </c>
      <c r="D5" s="6" t="s">
        <v>18</v>
      </c>
      <c r="E5" s="7"/>
      <c r="F5" s="7"/>
      <c r="G5" s="7"/>
      <c r="H5" s="7"/>
      <c r="I5" s="7"/>
      <c r="J5" s="7"/>
      <c r="K5">
        <v>1</v>
      </c>
    </row>
    <row r="6" spans="1:11" ht="12.75" x14ac:dyDescent="0.2">
      <c r="A6">
        <v>5</v>
      </c>
      <c r="B6" s="6" t="s">
        <v>22</v>
      </c>
      <c r="C6" s="6" t="s">
        <v>23</v>
      </c>
      <c r="D6" s="6" t="s">
        <v>21</v>
      </c>
      <c r="E6" s="7"/>
      <c r="F6" s="7"/>
      <c r="G6" s="7"/>
      <c r="H6" s="7"/>
      <c r="I6" s="7"/>
      <c r="J6" s="7"/>
      <c r="K6">
        <v>1</v>
      </c>
    </row>
    <row r="7" spans="1:11" ht="12.75" x14ac:dyDescent="0.2">
      <c r="A7">
        <v>6</v>
      </c>
      <c r="B7" s="6" t="s">
        <v>25</v>
      </c>
      <c r="C7" s="6" t="s">
        <v>26</v>
      </c>
      <c r="D7" s="6" t="s">
        <v>24</v>
      </c>
      <c r="E7" s="7"/>
      <c r="F7" s="7"/>
      <c r="G7" s="7"/>
      <c r="H7" s="7"/>
      <c r="I7" s="7"/>
      <c r="J7" s="7"/>
      <c r="K7">
        <v>1</v>
      </c>
    </row>
    <row r="8" spans="1:11" ht="12.75" x14ac:dyDescent="0.2">
      <c r="A8">
        <v>7</v>
      </c>
      <c r="B8" s="6" t="s">
        <v>28</v>
      </c>
      <c r="C8" s="6" t="s">
        <v>29</v>
      </c>
      <c r="D8" s="6" t="s">
        <v>27</v>
      </c>
      <c r="E8" s="8" t="str">
        <f>HYPERLINK("https://twitter.com/avenne6","@avenne6")</f>
        <v>@avenne6</v>
      </c>
      <c r="F8" s="8" t="str">
        <f>HYPERLINK("http://instagram.com/avenne6","@avenne6")</f>
        <v>@avenne6</v>
      </c>
      <c r="G8" s="9" t="str">
        <f>HYPERLINK("http://instagram.com/avenne6","avenne6")</f>
        <v>avenne6</v>
      </c>
      <c r="H8" s="6" t="s">
        <v>30</v>
      </c>
      <c r="I8" s="7"/>
      <c r="J8" s="7"/>
      <c r="K8">
        <v>1</v>
      </c>
    </row>
    <row r="9" spans="1:11" ht="12.75" x14ac:dyDescent="0.2">
      <c r="A9">
        <v>8</v>
      </c>
      <c r="B9" s="6" t="s">
        <v>32</v>
      </c>
      <c r="C9" s="6" t="s">
        <v>33</v>
      </c>
      <c r="D9" s="6" t="s">
        <v>31</v>
      </c>
      <c r="E9" s="8" t="str">
        <f>HYPERLINK("https://twitter.com/IrishJayBray","@irishjaybray")</f>
        <v>@irishjaybray</v>
      </c>
      <c r="F9" s="9"/>
      <c r="G9" s="6" t="s">
        <v>35</v>
      </c>
      <c r="H9" s="6" t="s">
        <v>34</v>
      </c>
      <c r="I9" s="7"/>
      <c r="J9" s="7"/>
      <c r="K9">
        <v>1</v>
      </c>
    </row>
    <row r="10" spans="1:11" ht="12.75" x14ac:dyDescent="0.2">
      <c r="A10">
        <v>9</v>
      </c>
      <c r="B10" s="6" t="s">
        <v>37</v>
      </c>
      <c r="C10" s="6" t="s">
        <v>38</v>
      </c>
      <c r="D10" s="6" t="s">
        <v>36</v>
      </c>
      <c r="E10" s="7"/>
      <c r="F10" s="7"/>
      <c r="G10" s="7"/>
      <c r="H10" s="7"/>
      <c r="I10" s="7"/>
      <c r="J10" s="7"/>
      <c r="K10">
        <v>1</v>
      </c>
    </row>
    <row r="11" spans="1:11" ht="12.75" x14ac:dyDescent="0.2">
      <c r="A11">
        <v>10</v>
      </c>
      <c r="B11" s="6" t="s">
        <v>40</v>
      </c>
      <c r="C11" s="6" t="s">
        <v>41</v>
      </c>
      <c r="D11" s="6" t="s">
        <v>39</v>
      </c>
      <c r="E11" s="7"/>
      <c r="F11" s="7"/>
      <c r="G11" s="7"/>
      <c r="H11" s="7"/>
      <c r="I11" s="7"/>
      <c r="J11" s="7"/>
      <c r="K11">
        <v>1</v>
      </c>
    </row>
    <row r="12" spans="1:11" ht="12.75" x14ac:dyDescent="0.2">
      <c r="A12">
        <v>11</v>
      </c>
      <c r="B12" s="6" t="s">
        <v>43</v>
      </c>
      <c r="C12" s="6" t="s">
        <v>44</v>
      </c>
      <c r="D12" s="6" t="s">
        <v>42</v>
      </c>
      <c r="E12" s="7"/>
      <c r="F12" s="7"/>
      <c r="G12" s="7"/>
      <c r="H12" s="7"/>
      <c r="I12" s="7"/>
      <c r="J12" s="7"/>
      <c r="K12">
        <v>1</v>
      </c>
    </row>
    <row r="13" spans="1:11" ht="12.75" x14ac:dyDescent="0.2">
      <c r="A13">
        <v>12</v>
      </c>
      <c r="B13" s="6" t="s">
        <v>46</v>
      </c>
      <c r="C13" s="6" t="s">
        <v>47</v>
      </c>
      <c r="D13" s="6" t="s">
        <v>45</v>
      </c>
      <c r="E13" s="7"/>
      <c r="F13" s="7"/>
      <c r="G13" s="7"/>
      <c r="H13" s="7"/>
      <c r="I13" s="7"/>
      <c r="J13" s="7"/>
      <c r="K13">
        <v>1</v>
      </c>
    </row>
    <row r="14" spans="1:11" ht="12.75" x14ac:dyDescent="0.2">
      <c r="A14">
        <v>13</v>
      </c>
      <c r="B14" s="6" t="s">
        <v>49</v>
      </c>
      <c r="C14" s="6" t="s">
        <v>50</v>
      </c>
      <c r="D14" s="6" t="s">
        <v>48</v>
      </c>
      <c r="E14" s="8" t="str">
        <f>HYPERLINK("https://twitter.com/Treversuko","@TreverSuko")</f>
        <v>@TreverSuko</v>
      </c>
      <c r="F14" s="7"/>
      <c r="G14" s="7"/>
      <c r="H14" s="6" t="s">
        <v>51</v>
      </c>
      <c r="I14" s="7"/>
      <c r="J14" s="7"/>
      <c r="K14">
        <v>1</v>
      </c>
    </row>
    <row r="15" spans="1:11" ht="12.75" x14ac:dyDescent="0.2">
      <c r="A15">
        <v>14</v>
      </c>
      <c r="B15" s="6" t="s">
        <v>53</v>
      </c>
      <c r="C15" s="6" t="s">
        <v>54</v>
      </c>
      <c r="D15" s="6" t="s">
        <v>52</v>
      </c>
      <c r="E15" s="8" t="str">
        <f>HYPERLINK("https://twitter.com/bowski477","@bowski477")</f>
        <v>@bowski477</v>
      </c>
      <c r="F15" s="8" t="str">
        <f>HYPERLINK("http://instagram.com/bowski477","@bowski477")</f>
        <v>@bowski477</v>
      </c>
      <c r="G15" s="6" t="s">
        <v>56</v>
      </c>
      <c r="H15" s="6" t="s">
        <v>55</v>
      </c>
      <c r="I15" s="6"/>
      <c r="J15" s="7"/>
      <c r="K15">
        <v>1</v>
      </c>
    </row>
    <row r="16" spans="1:11" ht="12.75" x14ac:dyDescent="0.2">
      <c r="A16">
        <v>15</v>
      </c>
      <c r="B16" s="6" t="s">
        <v>58</v>
      </c>
      <c r="C16" s="6" t="s">
        <v>59</v>
      </c>
      <c r="D16" s="6" t="s">
        <v>57</v>
      </c>
      <c r="E16" s="8" t="str">
        <f>HYPERLINK("https://twitter.com/Marasta76","@Marasta76")</f>
        <v>@Marasta76</v>
      </c>
      <c r="F16" s="8" t="str">
        <f>HYPERLINK("http://instagram.com/marasta","@Marasta")</f>
        <v>@Marasta</v>
      </c>
      <c r="G16" s="7"/>
      <c r="H16" s="6" t="s">
        <v>60</v>
      </c>
      <c r="I16" s="7"/>
      <c r="J16" s="7"/>
      <c r="K16">
        <v>1</v>
      </c>
    </row>
    <row r="17" spans="1:11" ht="12.75" x14ac:dyDescent="0.2">
      <c r="A17">
        <v>16</v>
      </c>
      <c r="B17" s="6" t="s">
        <v>62</v>
      </c>
      <c r="C17" s="6" t="s">
        <v>63</v>
      </c>
      <c r="D17" s="6" t="s">
        <v>61</v>
      </c>
      <c r="E17" s="7"/>
      <c r="F17" s="7"/>
      <c r="G17" s="7"/>
      <c r="H17" s="6" t="s">
        <v>64</v>
      </c>
      <c r="I17" s="7"/>
      <c r="J17" s="7"/>
      <c r="K17">
        <v>1</v>
      </c>
    </row>
    <row r="18" spans="1:11" ht="12.75" x14ac:dyDescent="0.2">
      <c r="A18">
        <v>17</v>
      </c>
      <c r="B18" s="6" t="s">
        <v>66</v>
      </c>
      <c r="C18" s="6" t="s">
        <v>67</v>
      </c>
      <c r="D18" s="6" t="s">
        <v>65</v>
      </c>
      <c r="E18" s="7"/>
      <c r="F18" s="7"/>
      <c r="G18" s="7"/>
      <c r="H18" s="7"/>
      <c r="I18" s="7"/>
      <c r="J18" s="7"/>
      <c r="K18">
        <v>1</v>
      </c>
    </row>
    <row r="19" spans="1:11" ht="12.75" x14ac:dyDescent="0.2">
      <c r="A19">
        <v>18</v>
      </c>
      <c r="B19" s="6" t="s">
        <v>69</v>
      </c>
      <c r="C19" s="6" t="s">
        <v>70</v>
      </c>
      <c r="D19" s="6" t="s">
        <v>68</v>
      </c>
      <c r="E19" s="7"/>
      <c r="F19" s="7"/>
      <c r="G19" s="7"/>
      <c r="H19" s="7"/>
      <c r="I19" s="7"/>
      <c r="J19" s="7"/>
      <c r="K19">
        <v>1</v>
      </c>
    </row>
    <row r="20" spans="1:11" ht="12.75" x14ac:dyDescent="0.2">
      <c r="A20">
        <v>19</v>
      </c>
      <c r="B20" s="6" t="s">
        <v>72</v>
      </c>
      <c r="C20" s="6" t="s">
        <v>73</v>
      </c>
      <c r="D20" s="6" t="s">
        <v>71</v>
      </c>
      <c r="E20" s="7"/>
      <c r="F20" s="7"/>
      <c r="G20" s="7"/>
      <c r="H20" s="7"/>
      <c r="I20" s="7"/>
      <c r="J20" s="7"/>
      <c r="K20">
        <v>1</v>
      </c>
    </row>
    <row r="21" spans="1:11" ht="12.75" x14ac:dyDescent="0.2">
      <c r="A21">
        <v>20</v>
      </c>
      <c r="B21" s="6" t="s">
        <v>75</v>
      </c>
      <c r="C21" s="6" t="s">
        <v>76</v>
      </c>
      <c r="D21" s="6" t="s">
        <v>74</v>
      </c>
      <c r="E21" s="7"/>
      <c r="F21" s="7"/>
      <c r="G21" s="7"/>
      <c r="H21" s="7"/>
      <c r="I21" s="7"/>
      <c r="J21" s="7"/>
      <c r="K21">
        <v>1</v>
      </c>
    </row>
    <row r="22" spans="1:11" ht="12.75" x14ac:dyDescent="0.2">
      <c r="A22">
        <v>21</v>
      </c>
      <c r="B22" s="6" t="s">
        <v>78</v>
      </c>
      <c r="C22" s="6" t="s">
        <v>79</v>
      </c>
      <c r="D22" s="6" t="s">
        <v>77</v>
      </c>
      <c r="E22" s="7"/>
      <c r="F22" s="7"/>
      <c r="G22" s="7"/>
      <c r="H22" s="7"/>
      <c r="I22" s="7"/>
      <c r="J22" s="7"/>
      <c r="K22">
        <v>1</v>
      </c>
    </row>
    <row r="23" spans="1:11" ht="12.75" x14ac:dyDescent="0.2">
      <c r="A23">
        <v>22</v>
      </c>
      <c r="B23" s="6" t="s">
        <v>81</v>
      </c>
      <c r="C23" s="6" t="s">
        <v>82</v>
      </c>
      <c r="D23" s="6" t="s">
        <v>80</v>
      </c>
      <c r="E23" s="7"/>
      <c r="F23" s="7"/>
      <c r="G23" s="7"/>
      <c r="H23" s="7"/>
      <c r="I23" s="7"/>
      <c r="J23" s="7"/>
      <c r="K23">
        <v>1</v>
      </c>
    </row>
    <row r="24" spans="1:11" ht="12.75" x14ac:dyDescent="0.2">
      <c r="A24">
        <v>23</v>
      </c>
      <c r="B24" s="6" t="s">
        <v>84</v>
      </c>
      <c r="C24" s="6" t="s">
        <v>85</v>
      </c>
      <c r="D24" s="6" t="s">
        <v>83</v>
      </c>
      <c r="E24" s="7"/>
      <c r="F24" s="7"/>
      <c r="G24" s="7"/>
      <c r="H24" s="7"/>
      <c r="I24" s="7"/>
      <c r="J24" s="7"/>
      <c r="K24">
        <v>1</v>
      </c>
    </row>
    <row r="25" spans="1:11" ht="12.75" x14ac:dyDescent="0.2">
      <c r="A25">
        <v>24</v>
      </c>
      <c r="B25" s="6" t="s">
        <v>87</v>
      </c>
      <c r="C25" s="6" t="s">
        <v>88</v>
      </c>
      <c r="D25" s="6" t="s">
        <v>86</v>
      </c>
      <c r="E25" s="7"/>
      <c r="F25" s="7"/>
      <c r="G25" s="7"/>
      <c r="H25" s="7"/>
      <c r="I25" s="7"/>
      <c r="J25" s="7"/>
      <c r="K25">
        <v>1</v>
      </c>
    </row>
    <row r="26" spans="1:11" ht="12.75" x14ac:dyDescent="0.2">
      <c r="A26">
        <v>25</v>
      </c>
      <c r="B26" s="6" t="s">
        <v>90</v>
      </c>
      <c r="C26" s="6" t="s">
        <v>91</v>
      </c>
      <c r="D26" s="6" t="s">
        <v>89</v>
      </c>
      <c r="E26" s="7"/>
      <c r="F26" s="7"/>
      <c r="G26" s="7"/>
      <c r="H26" s="7"/>
      <c r="I26" s="7"/>
      <c r="J26" s="7"/>
      <c r="K26">
        <v>1</v>
      </c>
    </row>
    <row r="27" spans="1:11" ht="12.75" x14ac:dyDescent="0.2">
      <c r="A27">
        <v>26</v>
      </c>
      <c r="B27" s="6" t="s">
        <v>93</v>
      </c>
      <c r="C27" s="6" t="s">
        <v>94</v>
      </c>
      <c r="D27" s="6" t="s">
        <v>92</v>
      </c>
      <c r="E27" s="7"/>
      <c r="F27" s="7"/>
      <c r="G27" s="7"/>
      <c r="H27" s="7"/>
      <c r="I27" s="7"/>
      <c r="J27" s="7"/>
      <c r="K27">
        <v>1</v>
      </c>
    </row>
    <row r="28" spans="1:11" ht="12.75" x14ac:dyDescent="0.2">
      <c r="A28">
        <v>27</v>
      </c>
      <c r="B28" s="6" t="s">
        <v>96</v>
      </c>
      <c r="C28" s="6" t="s">
        <v>97</v>
      </c>
      <c r="D28" s="6" t="s">
        <v>95</v>
      </c>
      <c r="E28" s="7"/>
      <c r="F28" s="7"/>
      <c r="G28" s="7"/>
      <c r="H28" s="7"/>
      <c r="I28" s="7"/>
      <c r="J28" s="7"/>
      <c r="K28">
        <v>1</v>
      </c>
    </row>
    <row r="29" spans="1:11" ht="12.75" x14ac:dyDescent="0.2">
      <c r="A29">
        <v>28</v>
      </c>
      <c r="B29" s="6" t="s">
        <v>99</v>
      </c>
      <c r="C29" s="6" t="s">
        <v>100</v>
      </c>
      <c r="D29" s="6" t="s">
        <v>98</v>
      </c>
      <c r="E29" s="7"/>
      <c r="F29" s="7"/>
      <c r="G29" s="7"/>
      <c r="H29" s="7"/>
      <c r="I29" s="7"/>
      <c r="J29" s="7"/>
      <c r="K29">
        <v>1</v>
      </c>
    </row>
    <row r="30" spans="1:11" ht="12.75" x14ac:dyDescent="0.2">
      <c r="A30">
        <v>29</v>
      </c>
      <c r="B30" s="6" t="s">
        <v>102</v>
      </c>
      <c r="C30" s="6" t="s">
        <v>103</v>
      </c>
      <c r="D30" s="6" t="s">
        <v>101</v>
      </c>
      <c r="E30" s="7"/>
      <c r="F30" s="7"/>
      <c r="G30" s="7"/>
      <c r="H30" s="7"/>
      <c r="I30" s="7"/>
      <c r="J30" s="7"/>
      <c r="K30">
        <v>1</v>
      </c>
    </row>
    <row r="31" spans="1:11" ht="12.75" x14ac:dyDescent="0.2">
      <c r="A31">
        <v>30</v>
      </c>
      <c r="B31" s="6" t="s">
        <v>105</v>
      </c>
      <c r="C31" s="6" t="s">
        <v>106</v>
      </c>
      <c r="D31" s="6" t="s">
        <v>104</v>
      </c>
      <c r="E31" s="7"/>
      <c r="F31" s="7"/>
      <c r="G31" s="7"/>
      <c r="H31" s="7"/>
      <c r="I31" s="7"/>
      <c r="J31" s="7"/>
      <c r="K31">
        <v>1</v>
      </c>
    </row>
    <row r="32" spans="1:11" ht="12.75" x14ac:dyDescent="0.2">
      <c r="A32">
        <v>31</v>
      </c>
      <c r="B32" s="6" t="s">
        <v>108</v>
      </c>
      <c r="C32" s="6" t="s">
        <v>109</v>
      </c>
      <c r="D32" s="6" t="s">
        <v>107</v>
      </c>
      <c r="E32" s="8" t="str">
        <f>HYPERLINK("https://twitter.com/Schwyter89","Schwyter89")</f>
        <v>Schwyter89</v>
      </c>
      <c r="F32" s="8" t="str">
        <f>HYPERLINK("http://instagram.com/beefpanther723","beefpanther723")</f>
        <v>beefpanther723</v>
      </c>
      <c r="G32" s="7"/>
      <c r="H32" s="6" t="s">
        <v>110</v>
      </c>
      <c r="I32" s="7"/>
      <c r="J32" s="7"/>
      <c r="K32">
        <v>1</v>
      </c>
    </row>
    <row r="33" spans="1:11" ht="12.75" x14ac:dyDescent="0.2">
      <c r="A33">
        <v>32</v>
      </c>
      <c r="B33" s="6" t="s">
        <v>112</v>
      </c>
      <c r="C33" s="6" t="s">
        <v>113</v>
      </c>
      <c r="D33" s="6" t="s">
        <v>111</v>
      </c>
      <c r="E33" s="7"/>
      <c r="F33" s="7"/>
      <c r="G33" s="7"/>
      <c r="H33" s="7"/>
      <c r="I33" s="7"/>
      <c r="J33" s="7"/>
      <c r="K33">
        <v>1</v>
      </c>
    </row>
    <row r="34" spans="1:11" ht="12.75" x14ac:dyDescent="0.2">
      <c r="A34">
        <v>33</v>
      </c>
      <c r="B34" s="6" t="s">
        <v>115</v>
      </c>
      <c r="C34" s="6" t="s">
        <v>116</v>
      </c>
      <c r="D34" s="6" t="s">
        <v>114</v>
      </c>
      <c r="E34" s="7"/>
      <c r="F34" s="7"/>
      <c r="G34" s="7"/>
      <c r="H34" s="7"/>
      <c r="I34" s="7"/>
      <c r="J34" s="7"/>
      <c r="K34">
        <v>1</v>
      </c>
    </row>
    <row r="35" spans="1:11" ht="12.75" x14ac:dyDescent="0.2">
      <c r="A35">
        <v>34</v>
      </c>
      <c r="B35" s="6" t="s">
        <v>118</v>
      </c>
      <c r="C35" s="6" t="s">
        <v>119</v>
      </c>
      <c r="D35" s="6" t="s">
        <v>117</v>
      </c>
      <c r="E35" s="7"/>
      <c r="F35" s="7"/>
      <c r="G35" s="7"/>
      <c r="H35" s="7"/>
      <c r="I35" s="7"/>
      <c r="J35" s="7"/>
      <c r="K35">
        <v>1</v>
      </c>
    </row>
    <row r="36" spans="1:11" ht="12.75" x14ac:dyDescent="0.2">
      <c r="A36">
        <v>35</v>
      </c>
      <c r="B36" s="6" t="s">
        <v>121</v>
      </c>
      <c r="C36" s="6" t="s">
        <v>122</v>
      </c>
      <c r="D36" s="6" t="s">
        <v>120</v>
      </c>
      <c r="E36" s="7"/>
      <c r="F36" s="7"/>
      <c r="G36" s="7"/>
      <c r="H36" s="7"/>
      <c r="I36" s="7"/>
      <c r="J36" s="7"/>
      <c r="K36">
        <v>1</v>
      </c>
    </row>
    <row r="37" spans="1:11" ht="12.75" x14ac:dyDescent="0.2">
      <c r="A37">
        <v>36</v>
      </c>
      <c r="B37" s="6" t="s">
        <v>124</v>
      </c>
      <c r="C37" s="6" t="s">
        <v>125</v>
      </c>
      <c r="D37" s="6" t="s">
        <v>123</v>
      </c>
      <c r="E37" s="7"/>
      <c r="F37" s="7"/>
      <c r="G37" s="7"/>
      <c r="H37" s="7"/>
      <c r="I37" s="7"/>
      <c r="J37" s="7"/>
      <c r="K37">
        <v>1</v>
      </c>
    </row>
    <row r="38" spans="1:11" ht="12.75" x14ac:dyDescent="0.2">
      <c r="A38">
        <v>37</v>
      </c>
      <c r="B38" s="6" t="s">
        <v>127</v>
      </c>
      <c r="C38" s="6" t="s">
        <v>128</v>
      </c>
      <c r="D38" s="6" t="s">
        <v>126</v>
      </c>
      <c r="E38" s="8" t="str">
        <f>HYPERLINK("https://twitter.com/bitPimps","@bitPimps")</f>
        <v>@bitPimps</v>
      </c>
      <c r="F38" s="8" t="str">
        <f>HYPERLINK("http://instagram.com/bitpimps","@bitPimps")</f>
        <v>@bitPimps</v>
      </c>
      <c r="G38" s="7"/>
      <c r="H38" s="6" t="s">
        <v>129</v>
      </c>
      <c r="I38" s="6" t="s">
        <v>130</v>
      </c>
      <c r="J38" s="7"/>
      <c r="K38">
        <v>1</v>
      </c>
    </row>
    <row r="39" spans="1:11" ht="12.75" x14ac:dyDescent="0.2">
      <c r="A39">
        <v>38</v>
      </c>
      <c r="B39" s="6" t="s">
        <v>132</v>
      </c>
      <c r="C39" s="6" t="s">
        <v>133</v>
      </c>
      <c r="D39" s="6" t="s">
        <v>131</v>
      </c>
      <c r="E39" s="7"/>
      <c r="F39" s="7"/>
      <c r="G39" s="7"/>
      <c r="H39" s="7"/>
      <c r="I39" s="7"/>
      <c r="J39" s="7"/>
      <c r="K39">
        <v>1</v>
      </c>
    </row>
    <row r="40" spans="1:11" ht="12.75" x14ac:dyDescent="0.2">
      <c r="A40">
        <v>39</v>
      </c>
      <c r="B40" s="6" t="s">
        <v>135</v>
      </c>
      <c r="C40" s="6" t="s">
        <v>136</v>
      </c>
      <c r="D40" s="6" t="s">
        <v>134</v>
      </c>
      <c r="E40" s="8" t="str">
        <f>HYPERLINK("https://twitter.com/cogdeth","@cogdeth")</f>
        <v>@cogdeth</v>
      </c>
      <c r="F40" s="8" t="str">
        <f>HYPERLINK("http://instagram.com/cogdeth","@cogdeth")</f>
        <v>@cogdeth</v>
      </c>
      <c r="G40" s="6" t="s">
        <v>138</v>
      </c>
      <c r="H40" s="6" t="s">
        <v>137</v>
      </c>
      <c r="I40" s="6" t="s">
        <v>139</v>
      </c>
      <c r="J40" s="7"/>
      <c r="K40">
        <v>1</v>
      </c>
    </row>
    <row r="41" spans="1:11" ht="12.75" x14ac:dyDescent="0.2">
      <c r="A41">
        <v>40</v>
      </c>
      <c r="B41" s="6" t="s">
        <v>141</v>
      </c>
      <c r="C41" s="6" t="s">
        <v>142</v>
      </c>
      <c r="D41" s="6" t="s">
        <v>140</v>
      </c>
      <c r="E41" s="8" t="str">
        <f>HYPERLINK("https://twitter.com/testyboy","@Testyboy")</f>
        <v>@Testyboy</v>
      </c>
      <c r="F41" s="8" t="str">
        <f>HYPERLINK("http://instagram.com/Testyboy","@Testyboy")</f>
        <v>@Testyboy</v>
      </c>
      <c r="G41" s="7"/>
      <c r="H41" s="6" t="s">
        <v>143</v>
      </c>
      <c r="I41" s="6" t="s">
        <v>144</v>
      </c>
      <c r="J41" s="7"/>
      <c r="K41">
        <v>1</v>
      </c>
    </row>
    <row r="42" spans="1:11" ht="12.75" x14ac:dyDescent="0.2">
      <c r="A42">
        <v>41</v>
      </c>
      <c r="B42" s="6" t="s">
        <v>146</v>
      </c>
      <c r="C42" s="6" t="s">
        <v>147</v>
      </c>
      <c r="D42" s="6" t="s">
        <v>145</v>
      </c>
      <c r="E42" s="8" t="str">
        <f>HYPERLINK("https://twitter.com/rrrredragons","@rrrredragons")</f>
        <v>@rrrredragons</v>
      </c>
      <c r="F42" s="7"/>
      <c r="G42" s="6"/>
      <c r="H42" s="6" t="s">
        <v>148</v>
      </c>
      <c r="I42" s="7"/>
      <c r="J42" s="7"/>
      <c r="K42">
        <v>1</v>
      </c>
    </row>
    <row r="43" spans="1:11" ht="12.75" x14ac:dyDescent="0.2">
      <c r="A43">
        <v>42</v>
      </c>
      <c r="B43" s="10" t="s">
        <v>150</v>
      </c>
      <c r="C43" s="10" t="s">
        <v>151</v>
      </c>
      <c r="D43" s="10" t="s">
        <v>149</v>
      </c>
      <c r="E43" s="11"/>
      <c r="F43" s="11"/>
      <c r="G43" s="11"/>
      <c r="H43" s="11"/>
      <c r="I43" s="11"/>
      <c r="J43" s="11"/>
      <c r="K43">
        <v>1</v>
      </c>
    </row>
    <row r="44" spans="1:11" ht="12.75" x14ac:dyDescent="0.2">
      <c r="A44">
        <v>43</v>
      </c>
      <c r="B44" s="6" t="s">
        <v>153</v>
      </c>
      <c r="C44" s="6" t="s">
        <v>154</v>
      </c>
      <c r="D44" s="6" t="s">
        <v>152</v>
      </c>
      <c r="E44" s="7"/>
      <c r="F44" s="7"/>
      <c r="G44" s="7"/>
      <c r="H44" s="7"/>
      <c r="I44" s="7"/>
      <c r="J44" s="7"/>
      <c r="K44">
        <v>1</v>
      </c>
    </row>
    <row r="45" spans="1:11" ht="12.75" x14ac:dyDescent="0.2">
      <c r="A45">
        <v>44</v>
      </c>
      <c r="B45" s="6" t="s">
        <v>156</v>
      </c>
      <c r="C45" s="6" t="s">
        <v>157</v>
      </c>
      <c r="D45" s="6" t="s">
        <v>155</v>
      </c>
      <c r="E45" s="7"/>
      <c r="F45" s="7"/>
      <c r="G45" s="7"/>
      <c r="H45" s="7"/>
      <c r="I45" s="7"/>
      <c r="J45" s="7"/>
      <c r="K45">
        <v>1</v>
      </c>
    </row>
    <row r="46" spans="1:11" ht="12.75" x14ac:dyDescent="0.2">
      <c r="A46">
        <v>45</v>
      </c>
      <c r="B46" s="6" t="s">
        <v>159</v>
      </c>
      <c r="C46" s="6" t="s">
        <v>160</v>
      </c>
      <c r="D46" s="6" t="s">
        <v>158</v>
      </c>
      <c r="E46" s="7"/>
      <c r="F46" s="7"/>
      <c r="G46" s="7"/>
      <c r="H46" s="7"/>
      <c r="I46" s="7"/>
      <c r="J46" s="7"/>
      <c r="K46">
        <v>1</v>
      </c>
    </row>
    <row r="47" spans="1:11" ht="12.75" x14ac:dyDescent="0.2">
      <c r="A47">
        <v>46</v>
      </c>
      <c r="B47" s="6" t="s">
        <v>162</v>
      </c>
      <c r="C47" s="6" t="s">
        <v>163</v>
      </c>
      <c r="D47" s="6" t="s">
        <v>161</v>
      </c>
      <c r="E47" s="7"/>
      <c r="F47" s="7"/>
      <c r="G47" s="7"/>
      <c r="H47" s="7"/>
      <c r="I47" s="7"/>
      <c r="J47" s="7"/>
      <c r="K47">
        <v>1</v>
      </c>
    </row>
    <row r="48" spans="1:11" ht="12.75" x14ac:dyDescent="0.2">
      <c r="A48">
        <v>47</v>
      </c>
      <c r="B48" s="6" t="s">
        <v>165</v>
      </c>
      <c r="C48" s="6" t="s">
        <v>166</v>
      </c>
      <c r="D48" s="6" t="s">
        <v>164</v>
      </c>
      <c r="E48" s="7"/>
      <c r="F48" s="7"/>
      <c r="G48" s="7"/>
      <c r="H48" s="7"/>
      <c r="I48" s="7"/>
      <c r="J48" s="7"/>
      <c r="K48">
        <v>1</v>
      </c>
    </row>
    <row r="49" spans="1:11" ht="12.75" x14ac:dyDescent="0.2">
      <c r="A49">
        <v>48</v>
      </c>
      <c r="B49" s="6" t="s">
        <v>168</v>
      </c>
      <c r="C49" s="6" t="s">
        <v>169</v>
      </c>
      <c r="D49" s="6" t="s">
        <v>167</v>
      </c>
      <c r="E49" s="7"/>
      <c r="F49" s="7"/>
      <c r="G49" s="7"/>
      <c r="H49" s="7"/>
      <c r="I49" s="7"/>
      <c r="J49" s="7"/>
      <c r="K49">
        <v>1</v>
      </c>
    </row>
    <row r="50" spans="1:11" ht="12.75" x14ac:dyDescent="0.2">
      <c r="A50">
        <v>49</v>
      </c>
      <c r="B50" s="6" t="s">
        <v>171</v>
      </c>
      <c r="C50" s="6" t="s">
        <v>172</v>
      </c>
      <c r="D50" s="6" t="s">
        <v>170</v>
      </c>
      <c r="E50" s="8" t="str">
        <f>HYPERLINK("https://twitter.com/Bonk_RDS","@Bonk_RDS")</f>
        <v>@Bonk_RDS</v>
      </c>
      <c r="F50" s="8" t="str">
        <f>HYPERLINK("http://instagram.com/bonk_rds","@Bonk_RDS")</f>
        <v>@Bonk_RDS</v>
      </c>
      <c r="G50" s="6" t="s">
        <v>174</v>
      </c>
      <c r="H50" s="6" t="s">
        <v>173</v>
      </c>
      <c r="I50" s="6" t="s">
        <v>175</v>
      </c>
      <c r="J50" s="7"/>
      <c r="K50">
        <v>1</v>
      </c>
    </row>
    <row r="51" spans="1:11" ht="12.75" x14ac:dyDescent="0.2">
      <c r="A51">
        <v>50</v>
      </c>
      <c r="B51" s="6" t="s">
        <v>177</v>
      </c>
      <c r="C51" s="6" t="s">
        <v>178</v>
      </c>
      <c r="D51" s="6" t="s">
        <v>176</v>
      </c>
      <c r="E51" s="7"/>
      <c r="F51" s="7"/>
      <c r="G51" s="7"/>
      <c r="H51" s="7"/>
      <c r="I51" s="7"/>
      <c r="J51" s="7"/>
      <c r="K51">
        <v>1</v>
      </c>
    </row>
    <row r="52" spans="1:11" ht="12.75" x14ac:dyDescent="0.2">
      <c r="A52">
        <v>51</v>
      </c>
      <c r="B52" s="6" t="s">
        <v>180</v>
      </c>
      <c r="C52" s="6" t="s">
        <v>181</v>
      </c>
      <c r="D52" s="6" t="s">
        <v>179</v>
      </c>
      <c r="E52" s="8" t="str">
        <f>HYPERLINK("https://twitter.com/BooozyTheClown","@BooozyTheClown")</f>
        <v>@BooozyTheClown</v>
      </c>
      <c r="F52" s="8" t="str">
        <f>HYPERLINK("http://instagram.com/BooozyTheClown","@BooozyTheClown")</f>
        <v>@BooozyTheClown</v>
      </c>
      <c r="G52" s="6" t="s">
        <v>183</v>
      </c>
      <c r="H52" s="6" t="s">
        <v>182</v>
      </c>
      <c r="I52" s="6" t="s">
        <v>184</v>
      </c>
      <c r="J52" s="7"/>
      <c r="K52">
        <v>1</v>
      </c>
    </row>
    <row r="53" spans="1:11" ht="12.75" x14ac:dyDescent="0.2">
      <c r="A53">
        <v>52</v>
      </c>
      <c r="B53" s="6" t="s">
        <v>186</v>
      </c>
      <c r="C53" s="6" t="s">
        <v>187</v>
      </c>
      <c r="D53" s="6" t="s">
        <v>185</v>
      </c>
      <c r="E53" s="7"/>
      <c r="F53" s="7"/>
      <c r="G53" s="7"/>
      <c r="H53" s="7"/>
      <c r="I53" s="7"/>
      <c r="J53" s="7"/>
      <c r="K53">
        <v>1</v>
      </c>
    </row>
    <row r="54" spans="1:11" ht="12.75" x14ac:dyDescent="0.2">
      <c r="A54">
        <v>53</v>
      </c>
      <c r="B54" s="6" t="s">
        <v>189</v>
      </c>
      <c r="C54" s="6" t="s">
        <v>190</v>
      </c>
      <c r="D54" s="6" t="s">
        <v>188</v>
      </c>
      <c r="E54" s="7"/>
      <c r="F54" s="7"/>
      <c r="G54" s="7"/>
      <c r="H54" s="7"/>
      <c r="I54" s="7"/>
      <c r="J54" s="7"/>
      <c r="K54">
        <v>1</v>
      </c>
    </row>
    <row r="55" spans="1:11" ht="12.75" x14ac:dyDescent="0.2">
      <c r="A55">
        <v>54</v>
      </c>
      <c r="B55" s="6" t="s">
        <v>192</v>
      </c>
      <c r="C55" s="6" t="s">
        <v>193</v>
      </c>
      <c r="D55" s="6" t="s">
        <v>191</v>
      </c>
      <c r="E55" s="7"/>
      <c r="F55" s="7"/>
      <c r="G55" s="7"/>
      <c r="H55" s="7"/>
      <c r="I55" s="7"/>
      <c r="J55" s="7"/>
      <c r="K55">
        <v>1</v>
      </c>
    </row>
    <row r="56" spans="1:11" ht="12.75" x14ac:dyDescent="0.2">
      <c r="A56">
        <v>55</v>
      </c>
      <c r="B56" s="6" t="s">
        <v>195</v>
      </c>
      <c r="C56" s="6" t="s">
        <v>196</v>
      </c>
      <c r="D56" s="6" t="s">
        <v>194</v>
      </c>
      <c r="E56" s="7"/>
      <c r="F56" s="7"/>
      <c r="G56" s="7"/>
      <c r="H56" s="7"/>
      <c r="I56" s="7"/>
      <c r="J56" s="7"/>
      <c r="K56">
        <v>1</v>
      </c>
    </row>
    <row r="57" spans="1:11" ht="12.75" x14ac:dyDescent="0.2">
      <c r="A57">
        <v>56</v>
      </c>
      <c r="B57" s="6" t="s">
        <v>198</v>
      </c>
      <c r="C57" s="6" t="s">
        <v>199</v>
      </c>
      <c r="D57" s="6" t="s">
        <v>197</v>
      </c>
      <c r="E57" s="8" t="str">
        <f>HYPERLINK("https://twitter.com/blotocki","@blotocki")</f>
        <v>@blotocki</v>
      </c>
      <c r="F57" s="8" t="str">
        <f>HYPERLINK("http://instagram.com/blotocki","@blotocki")</f>
        <v>@blotocki</v>
      </c>
      <c r="G57" s="6" t="s">
        <v>201</v>
      </c>
      <c r="H57" s="6" t="s">
        <v>200</v>
      </c>
      <c r="I57" s="7"/>
      <c r="J57" s="7"/>
      <c r="K57">
        <v>1</v>
      </c>
    </row>
    <row r="58" spans="1:11" ht="12.75" x14ac:dyDescent="0.2">
      <c r="A58">
        <v>57</v>
      </c>
      <c r="B58" s="6" t="s">
        <v>203</v>
      </c>
      <c r="C58" s="6" t="s">
        <v>204</v>
      </c>
      <c r="D58" s="6" t="s">
        <v>202</v>
      </c>
      <c r="E58" s="7"/>
      <c r="F58" s="7"/>
      <c r="G58" s="7"/>
      <c r="H58" s="7"/>
      <c r="I58" s="7"/>
      <c r="J58" s="7"/>
      <c r="K58">
        <v>1</v>
      </c>
    </row>
    <row r="59" spans="1:11" ht="12.75" x14ac:dyDescent="0.2">
      <c r="A59">
        <v>58</v>
      </c>
      <c r="B59" s="6" t="s">
        <v>206</v>
      </c>
      <c r="C59" s="6" t="s">
        <v>207</v>
      </c>
      <c r="D59" s="6" t="s">
        <v>205</v>
      </c>
      <c r="E59" s="7"/>
      <c r="F59" s="7"/>
      <c r="G59" s="7"/>
      <c r="H59" s="7"/>
      <c r="I59" s="7"/>
      <c r="J59" s="7"/>
      <c r="K59">
        <v>1</v>
      </c>
    </row>
    <row r="60" spans="1:11" ht="12.75" x14ac:dyDescent="0.2">
      <c r="A60">
        <v>59</v>
      </c>
      <c r="B60" s="6" t="s">
        <v>209</v>
      </c>
      <c r="C60" s="6" t="s">
        <v>210</v>
      </c>
      <c r="D60" s="6" t="s">
        <v>208</v>
      </c>
      <c r="E60" s="7"/>
      <c r="F60" s="7"/>
      <c r="G60" s="7"/>
      <c r="H60" s="7"/>
      <c r="I60" s="7"/>
      <c r="J60" s="7"/>
      <c r="K60">
        <v>1</v>
      </c>
    </row>
    <row r="61" spans="1:11" ht="12.75" x14ac:dyDescent="0.2">
      <c r="A61">
        <v>60</v>
      </c>
      <c r="B61" s="6" t="s">
        <v>212</v>
      </c>
      <c r="C61" s="6" t="s">
        <v>213</v>
      </c>
      <c r="D61" s="6" t="s">
        <v>211</v>
      </c>
      <c r="E61" s="7"/>
      <c r="F61" s="7"/>
      <c r="G61" s="7"/>
      <c r="H61" s="7"/>
      <c r="I61" s="7"/>
      <c r="J61" s="7"/>
      <c r="K61">
        <v>1</v>
      </c>
    </row>
    <row r="62" spans="1:11" ht="12.75" x14ac:dyDescent="0.2">
      <c r="A62">
        <v>61</v>
      </c>
      <c r="B62" s="6" t="s">
        <v>215</v>
      </c>
      <c r="C62" s="6" t="s">
        <v>216</v>
      </c>
      <c r="D62" s="6" t="s">
        <v>214</v>
      </c>
      <c r="E62" s="8" t="str">
        <f>HYPERLINK("https://twitter.com/Butterballs_EM6","@Butterballs_EM6")</f>
        <v>@Butterballs_EM6</v>
      </c>
      <c r="F62" s="8" t="str">
        <f>HYPERLINK("http://instagram.com/butterballs_em6","@Butterballs_EM6")</f>
        <v>@Butterballs_EM6</v>
      </c>
      <c r="G62" s="6" t="s">
        <v>218</v>
      </c>
      <c r="H62" s="6" t="s">
        <v>217</v>
      </c>
      <c r="I62" s="6" t="s">
        <v>219</v>
      </c>
      <c r="J62" s="7"/>
      <c r="K62">
        <v>1</v>
      </c>
    </row>
    <row r="63" spans="1:11" ht="12.75" x14ac:dyDescent="0.2">
      <c r="A63">
        <v>62</v>
      </c>
      <c r="B63" s="6" t="s">
        <v>221</v>
      </c>
      <c r="C63" s="6" t="s">
        <v>222</v>
      </c>
      <c r="D63" s="6" t="s">
        <v>220</v>
      </c>
      <c r="E63" s="7"/>
      <c r="F63" s="7"/>
      <c r="G63" s="7"/>
      <c r="H63" s="7"/>
      <c r="I63" s="7"/>
      <c r="J63" s="7"/>
      <c r="K63">
        <v>1</v>
      </c>
    </row>
    <row r="64" spans="1:11" ht="12.75" x14ac:dyDescent="0.2">
      <c r="A64">
        <v>63</v>
      </c>
      <c r="B64" s="6" t="s">
        <v>224</v>
      </c>
      <c r="C64" s="6" t="s">
        <v>225</v>
      </c>
      <c r="D64" s="6" t="s">
        <v>223</v>
      </c>
      <c r="E64" s="7"/>
      <c r="F64" s="7"/>
      <c r="G64" s="7"/>
      <c r="H64" s="7"/>
      <c r="I64" s="7"/>
      <c r="J64" s="7"/>
      <c r="K64">
        <v>1</v>
      </c>
    </row>
    <row r="65" spans="1:11" ht="12.75" x14ac:dyDescent="0.2">
      <c r="A65">
        <v>64</v>
      </c>
      <c r="B65" s="6" t="s">
        <v>227</v>
      </c>
      <c r="C65" s="6" t="s">
        <v>228</v>
      </c>
      <c r="D65" s="6" t="s">
        <v>226</v>
      </c>
      <c r="E65" s="7"/>
      <c r="F65" s="7"/>
      <c r="G65" s="7"/>
      <c r="H65" s="7"/>
      <c r="I65" s="7"/>
      <c r="J65" s="7"/>
      <c r="K65">
        <v>1</v>
      </c>
    </row>
    <row r="66" spans="1:11" ht="12.75" x14ac:dyDescent="0.2">
      <c r="A66">
        <v>65</v>
      </c>
      <c r="B66" s="6" t="s">
        <v>230</v>
      </c>
      <c r="C66" s="6" t="s">
        <v>231</v>
      </c>
      <c r="D66" s="6" t="s">
        <v>229</v>
      </c>
      <c r="E66" s="7"/>
      <c r="F66" s="8" t="str">
        <f>HYPERLINK("http://instagram.com/rdscowboy","@rdscowboy")</f>
        <v>@rdscowboy</v>
      </c>
      <c r="G66" s="7"/>
      <c r="H66" s="6" t="s">
        <v>232</v>
      </c>
      <c r="I66" s="7"/>
      <c r="J66" s="7"/>
      <c r="K66">
        <v>1</v>
      </c>
    </row>
    <row r="67" spans="1:11" ht="12.75" x14ac:dyDescent="0.2">
      <c r="A67">
        <v>66</v>
      </c>
      <c r="B67" s="6" t="s">
        <v>234</v>
      </c>
      <c r="C67" s="6" t="s">
        <v>235</v>
      </c>
      <c r="D67" s="6" t="s">
        <v>233</v>
      </c>
      <c r="E67" s="7"/>
      <c r="F67" s="7"/>
      <c r="G67" s="7"/>
      <c r="H67" s="7"/>
      <c r="I67" s="7"/>
      <c r="J67" s="7"/>
      <c r="K67">
        <v>1</v>
      </c>
    </row>
    <row r="68" spans="1:11" ht="12.75" x14ac:dyDescent="0.2">
      <c r="A68">
        <v>67</v>
      </c>
      <c r="B68" s="6" t="s">
        <v>237</v>
      </c>
      <c r="C68" s="6" t="s">
        <v>238</v>
      </c>
      <c r="D68" s="6" t="s">
        <v>236</v>
      </c>
      <c r="E68" s="7"/>
      <c r="F68" s="7"/>
      <c r="G68" s="7"/>
      <c r="H68" s="7"/>
      <c r="I68" s="7"/>
      <c r="J68" s="7"/>
      <c r="K68">
        <v>1</v>
      </c>
    </row>
    <row r="69" spans="1:11" ht="12.75" x14ac:dyDescent="0.2">
      <c r="A69">
        <v>68</v>
      </c>
      <c r="B69" s="6" t="s">
        <v>240</v>
      </c>
      <c r="C69" s="6" t="s">
        <v>241</v>
      </c>
      <c r="D69" s="6" t="s">
        <v>239</v>
      </c>
      <c r="E69" s="7"/>
      <c r="F69" s="7"/>
      <c r="G69" s="7"/>
      <c r="H69" s="7"/>
      <c r="I69" s="7"/>
      <c r="J69" s="7"/>
      <c r="K69">
        <v>1</v>
      </c>
    </row>
    <row r="70" spans="1:11" ht="12.75" x14ac:dyDescent="0.2">
      <c r="A70">
        <v>69</v>
      </c>
      <c r="B70" s="6" t="s">
        <v>243</v>
      </c>
      <c r="C70" s="6" t="s">
        <v>244</v>
      </c>
      <c r="D70" s="6" t="s">
        <v>242</v>
      </c>
      <c r="E70" s="8" t="str">
        <f>HYPERLINK("https://twitter.com/geraldpringle","@geraldpringle")</f>
        <v>@geraldpringle</v>
      </c>
      <c r="F70" s="8" t="str">
        <f>HYPERLINK("http://instagram.com/geraldpringle","@geraldpringle")</f>
        <v>@geraldpringle</v>
      </c>
      <c r="G70" s="6" t="s">
        <v>246</v>
      </c>
      <c r="H70" s="6" t="s">
        <v>245</v>
      </c>
      <c r="I70" s="7"/>
      <c r="J70" s="7"/>
      <c r="K70">
        <v>1</v>
      </c>
    </row>
    <row r="71" spans="1:11" ht="12.75" x14ac:dyDescent="0.2">
      <c r="A71">
        <v>70</v>
      </c>
      <c r="B71" s="6" t="s">
        <v>248</v>
      </c>
      <c r="C71" s="6" t="s">
        <v>249</v>
      </c>
      <c r="D71" s="6" t="s">
        <v>247</v>
      </c>
      <c r="E71" s="7"/>
      <c r="F71" s="7"/>
      <c r="G71" s="7"/>
      <c r="H71" s="7"/>
      <c r="I71" s="7"/>
      <c r="J71" s="7"/>
      <c r="K71">
        <v>1</v>
      </c>
    </row>
    <row r="72" spans="1:11" ht="12.75" x14ac:dyDescent="0.2">
      <c r="A72">
        <v>71</v>
      </c>
      <c r="B72" s="6" t="s">
        <v>251</v>
      </c>
      <c r="C72" s="6" t="s">
        <v>252</v>
      </c>
      <c r="D72" s="6" t="s">
        <v>250</v>
      </c>
      <c r="E72" s="8" t="str">
        <f>HYPERLINK("https://twitter.com/Liqydice700","@liqydice700")</f>
        <v>@liqydice700</v>
      </c>
      <c r="F72" s="9"/>
      <c r="G72" s="6" t="s">
        <v>254</v>
      </c>
      <c r="H72" s="6" t="s">
        <v>253</v>
      </c>
      <c r="I72" s="7"/>
      <c r="J72" s="7"/>
      <c r="K72">
        <v>1</v>
      </c>
    </row>
    <row r="73" spans="1:11" ht="12.75" x14ac:dyDescent="0.2">
      <c r="A73">
        <v>72</v>
      </c>
      <c r="B73" s="6" t="s">
        <v>256</v>
      </c>
      <c r="C73" s="6" t="s">
        <v>257</v>
      </c>
      <c r="D73" s="6" t="s">
        <v>255</v>
      </c>
      <c r="E73" s="7"/>
      <c r="F73" s="7"/>
      <c r="G73" s="7"/>
      <c r="H73" s="7"/>
      <c r="I73" s="7"/>
      <c r="J73" s="7"/>
      <c r="K73">
        <v>1</v>
      </c>
    </row>
    <row r="74" spans="1:11" ht="12.75" x14ac:dyDescent="0.2">
      <c r="A74">
        <v>73</v>
      </c>
      <c r="B74" s="6" t="s">
        <v>259</v>
      </c>
      <c r="C74" s="6" t="s">
        <v>260</v>
      </c>
      <c r="D74" s="6" t="s">
        <v>258</v>
      </c>
      <c r="E74" s="7"/>
      <c r="F74" s="7"/>
      <c r="G74" s="7"/>
      <c r="H74" s="7"/>
      <c r="I74" s="7"/>
      <c r="J74" s="7"/>
      <c r="K74">
        <v>1</v>
      </c>
    </row>
    <row r="75" spans="1:11" ht="12.75" x14ac:dyDescent="0.2">
      <c r="A75">
        <v>74</v>
      </c>
      <c r="B75" s="6" t="s">
        <v>262</v>
      </c>
      <c r="C75" s="6" t="s">
        <v>263</v>
      </c>
      <c r="D75" s="6" t="s">
        <v>261</v>
      </c>
      <c r="E75" s="7"/>
      <c r="F75" s="7"/>
      <c r="G75" s="7"/>
      <c r="H75" s="7"/>
      <c r="I75" s="7"/>
      <c r="J75" s="7"/>
      <c r="K75">
        <v>1</v>
      </c>
    </row>
    <row r="76" spans="1:11" ht="12.75" x14ac:dyDescent="0.2">
      <c r="A76">
        <v>75</v>
      </c>
      <c r="B76" s="6" t="s">
        <v>265</v>
      </c>
      <c r="C76" s="6" t="s">
        <v>266</v>
      </c>
      <c r="D76" s="6" t="s">
        <v>264</v>
      </c>
      <c r="E76" s="7"/>
      <c r="F76" s="7"/>
      <c r="G76" s="7"/>
      <c r="H76" s="7"/>
      <c r="I76" s="7"/>
      <c r="J76" s="7"/>
      <c r="K76">
        <v>1</v>
      </c>
    </row>
    <row r="77" spans="1:11" ht="12.75" x14ac:dyDescent="0.2">
      <c r="A77">
        <v>76</v>
      </c>
      <c r="B77" s="6" t="s">
        <v>268</v>
      </c>
      <c r="C77" s="6" t="s">
        <v>269</v>
      </c>
      <c r="D77" s="6" t="s">
        <v>267</v>
      </c>
      <c r="E77" s="7"/>
      <c r="F77" s="7"/>
      <c r="G77" s="7"/>
      <c r="H77" s="7"/>
      <c r="I77" s="7"/>
      <c r="J77" s="7"/>
      <c r="K77">
        <v>1</v>
      </c>
    </row>
    <row r="78" spans="1:11" ht="12.75" x14ac:dyDescent="0.2">
      <c r="A78">
        <v>77</v>
      </c>
      <c r="B78" s="6" t="s">
        <v>271</v>
      </c>
      <c r="C78" s="6" t="s">
        <v>272</v>
      </c>
      <c r="D78" s="6" t="s">
        <v>270</v>
      </c>
      <c r="E78" s="8" t="str">
        <f>HYPERLINK("https://twitter.com/Missy3696","@Missy3696")</f>
        <v>@Missy3696</v>
      </c>
      <c r="F78" s="8" t="str">
        <f>HYPERLINK("http://instagram.com/Missy3696","@Missy3696")</f>
        <v>@Missy3696</v>
      </c>
      <c r="G78" s="6" t="s">
        <v>274</v>
      </c>
      <c r="H78" s="6" t="s">
        <v>273</v>
      </c>
      <c r="I78" s="7"/>
      <c r="J78" s="7"/>
      <c r="K78">
        <v>1</v>
      </c>
    </row>
    <row r="79" spans="1:11" ht="12.75" x14ac:dyDescent="0.2">
      <c r="A79">
        <v>78</v>
      </c>
      <c r="B79" s="6" t="s">
        <v>276</v>
      </c>
      <c r="C79" s="6" t="s">
        <v>277</v>
      </c>
      <c r="D79" s="6" t="s">
        <v>275</v>
      </c>
      <c r="E79" s="8" t="str">
        <f>HYPERLINK("https://twitter.com/Fngr_Xpressions","@Fngr_Xpressions")</f>
        <v>@Fngr_Xpressions</v>
      </c>
      <c r="F79" s="6" t="s">
        <v>279</v>
      </c>
      <c r="G79" s="6" t="s">
        <v>280</v>
      </c>
      <c r="H79" s="6" t="s">
        <v>278</v>
      </c>
      <c r="I79" s="7"/>
      <c r="J79" s="7"/>
      <c r="K79">
        <v>1</v>
      </c>
    </row>
    <row r="80" spans="1:11" ht="12.75" x14ac:dyDescent="0.2">
      <c r="A80">
        <v>79</v>
      </c>
      <c r="B80" s="6" t="s">
        <v>282</v>
      </c>
      <c r="C80" s="6" t="s">
        <v>283</v>
      </c>
      <c r="D80" s="6" t="s">
        <v>281</v>
      </c>
      <c r="E80" s="7"/>
      <c r="F80" s="7"/>
      <c r="G80" s="7"/>
      <c r="H80" s="7"/>
      <c r="I80" s="7"/>
      <c r="J80" s="7"/>
      <c r="K80">
        <v>1</v>
      </c>
    </row>
    <row r="81" spans="1:11" ht="12.75" x14ac:dyDescent="0.2">
      <c r="A81">
        <v>80</v>
      </c>
      <c r="B81" s="6" t="s">
        <v>285</v>
      </c>
      <c r="C81" s="6" t="s">
        <v>286</v>
      </c>
      <c r="D81" s="6" t="s">
        <v>284</v>
      </c>
      <c r="E81" s="8" t="str">
        <f>HYPERLINK("https://twitter.com/clubhousandwich","@clubhousandwich")</f>
        <v>@clubhousandwich</v>
      </c>
      <c r="F81" s="8" t="str">
        <f>HYPERLINK("http://instagram.com/clubhousesandwich","@ClubHouseSandwich")</f>
        <v>@ClubHouseSandwich</v>
      </c>
      <c r="G81" s="6" t="s">
        <v>288</v>
      </c>
      <c r="H81" s="6" t="s">
        <v>287</v>
      </c>
      <c r="I81" s="7"/>
      <c r="J81" s="7"/>
      <c r="K81">
        <v>1</v>
      </c>
    </row>
    <row r="82" spans="1:11" ht="12.75" x14ac:dyDescent="0.2">
      <c r="A82">
        <v>81</v>
      </c>
      <c r="B82" s="6" t="s">
        <v>290</v>
      </c>
      <c r="C82" s="6" t="s">
        <v>291</v>
      </c>
      <c r="D82" s="6" t="s">
        <v>289</v>
      </c>
      <c r="E82" s="7"/>
      <c r="F82" s="7"/>
      <c r="G82" s="7"/>
      <c r="H82" s="7"/>
      <c r="I82" s="7"/>
      <c r="J82" s="7"/>
      <c r="K82">
        <v>1</v>
      </c>
    </row>
    <row r="83" spans="1:11" ht="12.75" x14ac:dyDescent="0.2">
      <c r="A83">
        <v>82</v>
      </c>
      <c r="B83" s="6" t="s">
        <v>293</v>
      </c>
      <c r="C83" s="6" t="s">
        <v>294</v>
      </c>
      <c r="D83" s="6" t="s">
        <v>292</v>
      </c>
      <c r="E83" s="7"/>
      <c r="F83" s="7"/>
      <c r="G83" s="7"/>
      <c r="H83" s="7"/>
      <c r="I83" s="7"/>
      <c r="J83" s="7"/>
      <c r="K83">
        <v>1</v>
      </c>
    </row>
    <row r="84" spans="1:11" ht="12.75" x14ac:dyDescent="0.2">
      <c r="A84">
        <v>83</v>
      </c>
      <c r="B84" s="6" t="s">
        <v>296</v>
      </c>
      <c r="C84" s="6" t="s">
        <v>297</v>
      </c>
      <c r="D84" s="6" t="s">
        <v>295</v>
      </c>
      <c r="E84" s="7"/>
      <c r="F84" s="7"/>
      <c r="G84" s="7"/>
      <c r="H84" s="7"/>
      <c r="I84" s="7"/>
      <c r="J84" s="7"/>
      <c r="K84">
        <v>1</v>
      </c>
    </row>
    <row r="85" spans="1:11" ht="12.75" x14ac:dyDescent="0.2">
      <c r="A85">
        <v>84</v>
      </c>
      <c r="B85" s="6" t="s">
        <v>299</v>
      </c>
      <c r="C85" s="6" t="s">
        <v>300</v>
      </c>
      <c r="D85" s="6" t="s">
        <v>298</v>
      </c>
      <c r="E85" s="7"/>
      <c r="F85" s="7"/>
      <c r="G85" s="7"/>
      <c r="H85" s="7"/>
      <c r="I85" s="7"/>
      <c r="J85" s="7"/>
      <c r="K85">
        <v>1</v>
      </c>
    </row>
    <row r="86" spans="1:11" ht="12.75" x14ac:dyDescent="0.2">
      <c r="A86">
        <v>85</v>
      </c>
      <c r="B86" s="6" t="s">
        <v>302</v>
      </c>
      <c r="C86" s="6" t="s">
        <v>303</v>
      </c>
      <c r="D86" s="6" t="s">
        <v>301</v>
      </c>
      <c r="E86" s="7"/>
      <c r="F86" s="7"/>
      <c r="G86" s="7"/>
      <c r="H86" s="7"/>
      <c r="I86" s="7"/>
      <c r="J86" s="7"/>
      <c r="K86">
        <v>1</v>
      </c>
    </row>
    <row r="87" spans="1:11" ht="12.75" x14ac:dyDescent="0.2">
      <c r="A87">
        <v>86</v>
      </c>
      <c r="B87" s="6" t="s">
        <v>305</v>
      </c>
      <c r="C87" s="6" t="s">
        <v>306</v>
      </c>
      <c r="D87" s="6" t="s">
        <v>304</v>
      </c>
      <c r="E87" s="7"/>
      <c r="F87" s="7"/>
      <c r="G87" s="7"/>
      <c r="H87" s="7"/>
      <c r="I87" s="7"/>
      <c r="J87" s="7"/>
      <c r="K87">
        <v>1</v>
      </c>
    </row>
    <row r="88" spans="1:11" ht="12.75" x14ac:dyDescent="0.2">
      <c r="A88">
        <v>87</v>
      </c>
      <c r="B88" s="6" t="s">
        <v>308</v>
      </c>
      <c r="C88" s="6" t="s">
        <v>309</v>
      </c>
      <c r="D88" s="6" t="s">
        <v>307</v>
      </c>
      <c r="E88" s="7"/>
      <c r="F88" s="7"/>
      <c r="G88" s="7"/>
      <c r="H88" s="7"/>
      <c r="I88" s="7"/>
      <c r="J88" s="7"/>
      <c r="K88">
        <v>1</v>
      </c>
    </row>
    <row r="89" spans="1:11" ht="12.75" x14ac:dyDescent="0.2">
      <c r="A89">
        <v>88</v>
      </c>
      <c r="B89" s="6" t="s">
        <v>311</v>
      </c>
      <c r="C89" s="6" t="s">
        <v>312</v>
      </c>
      <c r="D89" s="6" t="s">
        <v>310</v>
      </c>
      <c r="E89" s="7"/>
      <c r="F89" s="7"/>
      <c r="G89" s="7"/>
      <c r="H89" s="7"/>
      <c r="I89" s="7"/>
      <c r="J89" s="7"/>
      <c r="K89">
        <v>1</v>
      </c>
    </row>
    <row r="90" spans="1:11" ht="12.75" x14ac:dyDescent="0.2">
      <c r="A90">
        <v>89</v>
      </c>
      <c r="B90" s="6" t="s">
        <v>314</v>
      </c>
      <c r="C90" s="6" t="s">
        <v>315</v>
      </c>
      <c r="D90" s="6" t="s">
        <v>313</v>
      </c>
      <c r="E90" s="7"/>
      <c r="F90" s="7"/>
      <c r="G90" s="7"/>
      <c r="H90" s="7"/>
      <c r="I90" s="7"/>
      <c r="J90" s="7"/>
      <c r="K90">
        <v>1</v>
      </c>
    </row>
    <row r="91" spans="1:11" ht="12.75" x14ac:dyDescent="0.2">
      <c r="A91">
        <v>90</v>
      </c>
      <c r="B91" s="6" t="s">
        <v>317</v>
      </c>
      <c r="C91" s="6" t="s">
        <v>318</v>
      </c>
      <c r="D91" s="6" t="s">
        <v>316</v>
      </c>
      <c r="E91" s="7"/>
      <c r="F91" s="7"/>
      <c r="G91" s="7"/>
      <c r="H91" s="7"/>
      <c r="I91" s="7"/>
      <c r="J91" s="7"/>
      <c r="K91">
        <v>1</v>
      </c>
    </row>
    <row r="92" spans="1:11" ht="12.75" x14ac:dyDescent="0.2">
      <c r="A92">
        <v>91</v>
      </c>
      <c r="B92" s="6" t="s">
        <v>320</v>
      </c>
      <c r="C92" s="6" t="s">
        <v>321</v>
      </c>
      <c r="D92" s="6" t="s">
        <v>319</v>
      </c>
      <c r="E92" s="7"/>
      <c r="F92" s="7"/>
      <c r="G92" s="7"/>
      <c r="H92" s="7"/>
      <c r="I92" s="7"/>
      <c r="J92" s="7"/>
      <c r="K92">
        <v>1</v>
      </c>
    </row>
    <row r="93" spans="1:11" ht="12.75" x14ac:dyDescent="0.2">
      <c r="A93">
        <v>92</v>
      </c>
      <c r="B93" s="6" t="s">
        <v>323</v>
      </c>
      <c r="C93" s="6" t="s">
        <v>324</v>
      </c>
      <c r="D93" s="6" t="s">
        <v>322</v>
      </c>
      <c r="E93" s="7"/>
      <c r="F93" s="7"/>
      <c r="G93" s="7"/>
      <c r="H93" s="6" t="s">
        <v>325</v>
      </c>
      <c r="I93" s="7"/>
      <c r="J93" s="7"/>
      <c r="K93">
        <v>1</v>
      </c>
    </row>
    <row r="94" spans="1:11" ht="12.75" x14ac:dyDescent="0.2">
      <c r="A94">
        <v>93</v>
      </c>
      <c r="B94" s="6" t="s">
        <v>327</v>
      </c>
      <c r="C94" s="6" t="s">
        <v>328</v>
      </c>
      <c r="D94" s="6" t="s">
        <v>326</v>
      </c>
      <c r="E94" s="7"/>
      <c r="F94" s="7"/>
      <c r="G94" s="7"/>
      <c r="H94" s="7"/>
      <c r="I94" s="7"/>
      <c r="J94" s="7"/>
      <c r="K94">
        <v>1</v>
      </c>
    </row>
    <row r="95" spans="1:11" ht="12.75" x14ac:dyDescent="0.2">
      <c r="A95">
        <v>94</v>
      </c>
      <c r="B95" s="6" t="s">
        <v>330</v>
      </c>
      <c r="C95" s="6" t="s">
        <v>331</v>
      </c>
      <c r="D95" s="6" t="s">
        <v>329</v>
      </c>
      <c r="E95" s="7"/>
      <c r="F95" s="7"/>
      <c r="G95" s="7"/>
      <c r="H95" s="7"/>
      <c r="I95" s="7"/>
      <c r="J95" s="7"/>
      <c r="K95">
        <v>1</v>
      </c>
    </row>
    <row r="96" spans="1:11" ht="12.75" x14ac:dyDescent="0.2">
      <c r="A96">
        <v>95</v>
      </c>
      <c r="B96" s="6" t="s">
        <v>333</v>
      </c>
      <c r="C96" s="6" t="s">
        <v>334</v>
      </c>
      <c r="D96" s="6" t="s">
        <v>332</v>
      </c>
      <c r="E96" s="7"/>
      <c r="F96" s="7"/>
      <c r="G96" s="7"/>
      <c r="H96" s="7"/>
      <c r="I96" s="7"/>
      <c r="J96" s="7"/>
      <c r="K96">
        <v>1</v>
      </c>
    </row>
    <row r="97" spans="1:11" ht="12.75" x14ac:dyDescent="0.2">
      <c r="A97">
        <v>96</v>
      </c>
      <c r="B97" s="6" t="s">
        <v>336</v>
      </c>
      <c r="C97" s="6" t="s">
        <v>337</v>
      </c>
      <c r="D97" s="6" t="s">
        <v>335</v>
      </c>
      <c r="E97" s="7"/>
      <c r="F97" s="7"/>
      <c r="G97" s="7"/>
      <c r="H97" s="7"/>
      <c r="I97" s="7"/>
      <c r="J97" s="7"/>
      <c r="K97">
        <v>1</v>
      </c>
    </row>
    <row r="98" spans="1:11" ht="12.75" x14ac:dyDescent="0.2">
      <c r="A98">
        <v>97</v>
      </c>
      <c r="B98" s="6" t="s">
        <v>339</v>
      </c>
      <c r="C98" s="6" t="s">
        <v>340</v>
      </c>
      <c r="D98" s="6" t="s">
        <v>338</v>
      </c>
      <c r="E98" s="8" t="str">
        <f>HYPERLINK("https://twitter.com/HandyCappedommy","@handycappedommy")</f>
        <v>@handycappedommy</v>
      </c>
      <c r="F98" s="8" t="str">
        <f>HYPERLINK("http://instagram.com/handycappedommy","@handycappedommy")</f>
        <v>@handycappedommy</v>
      </c>
      <c r="G98" s="7"/>
      <c r="H98" s="6" t="s">
        <v>341</v>
      </c>
      <c r="I98" s="7"/>
      <c r="J98" s="7"/>
      <c r="K98">
        <v>1</v>
      </c>
    </row>
    <row r="99" spans="1:11" ht="12.75" x14ac:dyDescent="0.2">
      <c r="A99">
        <v>98</v>
      </c>
      <c r="B99" s="6" t="s">
        <v>343</v>
      </c>
      <c r="C99" s="6" t="s">
        <v>344</v>
      </c>
      <c r="D99" s="6" t="s">
        <v>342</v>
      </c>
      <c r="E99" s="7"/>
      <c r="F99" s="7"/>
      <c r="G99" s="7"/>
      <c r="H99" s="7"/>
      <c r="I99" s="7"/>
      <c r="J99" s="7"/>
      <c r="K99">
        <v>1</v>
      </c>
    </row>
    <row r="100" spans="1:11" ht="12.75" x14ac:dyDescent="0.2">
      <c r="A100">
        <v>99</v>
      </c>
      <c r="B100" s="6" t="s">
        <v>346</v>
      </c>
      <c r="C100" s="6" t="s">
        <v>347</v>
      </c>
      <c r="D100" s="6" t="s">
        <v>345</v>
      </c>
      <c r="E100" s="7"/>
      <c r="F100" s="7"/>
      <c r="G100" s="7"/>
      <c r="H100" s="7"/>
      <c r="I100" s="7"/>
      <c r="J100" s="7"/>
      <c r="K100">
        <v>1</v>
      </c>
    </row>
    <row r="101" spans="1:11" ht="12.75" x14ac:dyDescent="0.2">
      <c r="A101">
        <v>100</v>
      </c>
      <c r="B101" s="6" t="s">
        <v>349</v>
      </c>
      <c r="C101" s="6" t="s">
        <v>350</v>
      </c>
      <c r="D101" s="6" t="s">
        <v>348</v>
      </c>
      <c r="E101" s="7"/>
      <c r="F101" s="7"/>
      <c r="G101" s="7"/>
      <c r="H101" s="7"/>
      <c r="I101" s="7"/>
      <c r="J101" s="7"/>
      <c r="K101">
        <v>1</v>
      </c>
    </row>
    <row r="102" spans="1:11" ht="12.75" x14ac:dyDescent="0.2">
      <c r="A102">
        <v>101</v>
      </c>
      <c r="B102" s="6" t="s">
        <v>352</v>
      </c>
      <c r="C102" s="6" t="s">
        <v>353</v>
      </c>
      <c r="D102" s="6" t="s">
        <v>351</v>
      </c>
      <c r="E102" s="7"/>
      <c r="F102" s="7"/>
      <c r="G102" s="7"/>
      <c r="H102" s="7"/>
      <c r="I102" s="7"/>
      <c r="J102" s="7"/>
      <c r="K102">
        <v>1</v>
      </c>
    </row>
    <row r="103" spans="1:11" ht="12.75" x14ac:dyDescent="0.2">
      <c r="A103">
        <v>102</v>
      </c>
      <c r="B103" s="6" t="s">
        <v>355</v>
      </c>
      <c r="C103" s="6" t="s">
        <v>356</v>
      </c>
      <c r="D103" s="6" t="s">
        <v>354</v>
      </c>
      <c r="E103" s="8" t="str">
        <f>HYPERLINK("https://twitter.com/CRAZYJERR","@CRAZYJERR")</f>
        <v>@CRAZYJERR</v>
      </c>
      <c r="F103" s="8" t="str">
        <f>HYPERLINK("http://instagram.com/CRAZYJERR","@crazyjerr")</f>
        <v>@crazyjerr</v>
      </c>
      <c r="G103" s="7"/>
      <c r="H103" s="6" t="s">
        <v>357</v>
      </c>
      <c r="I103" s="6" t="s">
        <v>358</v>
      </c>
      <c r="J103" s="7"/>
      <c r="K103">
        <v>1</v>
      </c>
    </row>
    <row r="104" spans="1:11" ht="12.75" x14ac:dyDescent="0.2">
      <c r="A104">
        <v>103</v>
      </c>
      <c r="B104" s="6" t="s">
        <v>360</v>
      </c>
      <c r="C104" s="6"/>
      <c r="D104" s="6" t="s">
        <v>359</v>
      </c>
      <c r="E104" s="8" t="str">
        <f>HYPERLINK("https://twitter.com/cringer","@cringer")</f>
        <v>@cringer</v>
      </c>
      <c r="F104" s="8" t="str">
        <f>HYPERLINK("http://instagram.com/cringeworld","@cringeworld")</f>
        <v>@cringeworld</v>
      </c>
      <c r="G104" s="6" t="s">
        <v>362</v>
      </c>
      <c r="H104" s="6" t="s">
        <v>361</v>
      </c>
      <c r="I104" s="7"/>
      <c r="J104" s="7"/>
      <c r="K104">
        <v>1</v>
      </c>
    </row>
    <row r="105" spans="1:11" ht="12.75" x14ac:dyDescent="0.2">
      <c r="A105">
        <v>104</v>
      </c>
      <c r="B105" s="6" t="s">
        <v>364</v>
      </c>
      <c r="C105" s="6" t="s">
        <v>365</v>
      </c>
      <c r="D105" s="6" t="s">
        <v>363</v>
      </c>
      <c r="E105" s="7"/>
      <c r="F105" s="7"/>
      <c r="G105" s="7"/>
      <c r="H105" s="7"/>
      <c r="I105" s="7"/>
      <c r="J105" s="7"/>
      <c r="K105">
        <v>1</v>
      </c>
    </row>
    <row r="106" spans="1:11" ht="12.75" x14ac:dyDescent="0.2">
      <c r="A106">
        <v>105</v>
      </c>
      <c r="B106" s="6" t="s">
        <v>367</v>
      </c>
      <c r="C106" s="6" t="s">
        <v>368</v>
      </c>
      <c r="D106" s="6" t="s">
        <v>366</v>
      </c>
      <c r="E106" s="8" t="str">
        <f>HYPERLINK("https://twitter.com/jakejeff","@jakejeff")</f>
        <v>@jakejeff</v>
      </c>
      <c r="F106" s="8" t="str">
        <f>HYPERLINK("http://instagram.com/jakejeff78","@jakejeff78")</f>
        <v>@jakejeff78</v>
      </c>
      <c r="G106" s="6" t="s">
        <v>370</v>
      </c>
      <c r="H106" s="6" t="s">
        <v>369</v>
      </c>
      <c r="I106" s="7"/>
      <c r="J106" s="7"/>
      <c r="K106">
        <v>1</v>
      </c>
    </row>
    <row r="107" spans="1:11" ht="12.75" x14ac:dyDescent="0.2">
      <c r="A107">
        <v>106</v>
      </c>
      <c r="B107" s="6" t="s">
        <v>372</v>
      </c>
      <c r="C107" s="6" t="s">
        <v>373</v>
      </c>
      <c r="D107" s="6" t="s">
        <v>371</v>
      </c>
      <c r="E107" s="7"/>
      <c r="F107" s="7"/>
      <c r="G107" s="7"/>
      <c r="H107" s="7"/>
      <c r="I107" s="7"/>
      <c r="J107" s="7"/>
      <c r="K107">
        <v>1</v>
      </c>
    </row>
    <row r="108" spans="1:11" ht="12.75" x14ac:dyDescent="0.2">
      <c r="A108">
        <v>107</v>
      </c>
      <c r="B108" s="6" t="s">
        <v>375</v>
      </c>
      <c r="C108" s="6" t="s">
        <v>376</v>
      </c>
      <c r="D108" s="6" t="s">
        <v>374</v>
      </c>
      <c r="E108" s="8" t="str">
        <f>HYPERLINK("https://twitter.com/KevinKraftSucks","@kevinkraftsucks")</f>
        <v>@kevinkraftsucks</v>
      </c>
      <c r="F108" s="8" t="str">
        <f>HYPERLINK("http://instagram.com/kevinkraft/","@kevinkraft")</f>
        <v>@kevinkraft</v>
      </c>
      <c r="G108" s="6"/>
      <c r="H108" s="6" t="s">
        <v>377</v>
      </c>
      <c r="I108" s="6" t="s">
        <v>378</v>
      </c>
      <c r="J108" s="7"/>
      <c r="K108">
        <v>1</v>
      </c>
    </row>
    <row r="109" spans="1:11" ht="12.75" x14ac:dyDescent="0.2">
      <c r="A109">
        <v>108</v>
      </c>
      <c r="B109" s="6" t="s">
        <v>380</v>
      </c>
      <c r="C109" s="6" t="s">
        <v>381</v>
      </c>
      <c r="D109" s="6" t="s">
        <v>379</v>
      </c>
      <c r="E109" s="7"/>
      <c r="F109" s="7"/>
      <c r="G109" s="7"/>
      <c r="H109" s="7"/>
      <c r="I109" s="7"/>
      <c r="J109" s="7"/>
      <c r="K109">
        <v>1</v>
      </c>
    </row>
    <row r="110" spans="1:11" ht="12.75" x14ac:dyDescent="0.2">
      <c r="A110">
        <v>109</v>
      </c>
      <c r="B110" s="6" t="s">
        <v>383</v>
      </c>
      <c r="C110" s="6" t="s">
        <v>384</v>
      </c>
      <c r="D110" s="6" t="s">
        <v>382</v>
      </c>
      <c r="E110" s="8" t="str">
        <f>HYPERLINK("https://twitter.com/Guitar455","@guitar455")</f>
        <v>@guitar455</v>
      </c>
      <c r="F110" s="8" t="str">
        <f>HYPERLINK("http://instagram.com/hhtac88","@hhtac88")</f>
        <v>@hhtac88</v>
      </c>
      <c r="G110" s="6" t="s">
        <v>386</v>
      </c>
      <c r="H110" s="6" t="s">
        <v>385</v>
      </c>
      <c r="I110" s="7"/>
      <c r="J110" s="7"/>
      <c r="K110">
        <v>1</v>
      </c>
    </row>
    <row r="111" spans="1:11" ht="12.75" x14ac:dyDescent="0.2">
      <c r="A111">
        <v>110</v>
      </c>
      <c r="B111" s="6" t="s">
        <v>388</v>
      </c>
      <c r="C111" s="6" t="s">
        <v>389</v>
      </c>
      <c r="D111" s="6" t="s">
        <v>387</v>
      </c>
      <c r="E111" s="7"/>
      <c r="F111" s="7"/>
      <c r="G111" s="7"/>
      <c r="H111" s="7"/>
      <c r="I111" s="7"/>
      <c r="J111" s="7"/>
      <c r="K111">
        <v>1</v>
      </c>
    </row>
    <row r="112" spans="1:11" ht="12.75" x14ac:dyDescent="0.2">
      <c r="A112">
        <v>111</v>
      </c>
      <c r="B112" s="6" t="s">
        <v>391</v>
      </c>
      <c r="C112" s="6" t="s">
        <v>392</v>
      </c>
      <c r="D112" s="6" t="s">
        <v>390</v>
      </c>
      <c r="E112" s="7"/>
      <c r="F112" s="7"/>
      <c r="G112" s="7"/>
      <c r="H112" s="7"/>
      <c r="I112" s="7"/>
      <c r="J112" s="7"/>
      <c r="K112">
        <v>1</v>
      </c>
    </row>
    <row r="113" spans="1:11" ht="12.75" x14ac:dyDescent="0.2">
      <c r="A113">
        <v>112</v>
      </c>
      <c r="B113" s="6" t="s">
        <v>394</v>
      </c>
      <c r="C113" s="6" t="s">
        <v>395</v>
      </c>
      <c r="D113" s="6" t="s">
        <v>393</v>
      </c>
      <c r="E113" s="6"/>
      <c r="F113" s="8" t="str">
        <f>HYPERLINK("http://instagram.com/stephiez88","@stephiez88")</f>
        <v>@stephiez88</v>
      </c>
      <c r="G113" s="7"/>
      <c r="H113" s="6" t="s">
        <v>396</v>
      </c>
      <c r="I113" s="7"/>
      <c r="J113" s="7"/>
      <c r="K113">
        <v>1</v>
      </c>
    </row>
    <row r="114" spans="1:11" ht="12.75" x14ac:dyDescent="0.2">
      <c r="A114">
        <v>113</v>
      </c>
      <c r="B114" s="6" t="s">
        <v>398</v>
      </c>
      <c r="C114" s="6" t="s">
        <v>399</v>
      </c>
      <c r="D114" s="6" t="s">
        <v>397</v>
      </c>
      <c r="E114" s="8" t="str">
        <f>HYPERLINK("https://twitter.com/DougRob70","@dougrob70")</f>
        <v>@dougrob70</v>
      </c>
      <c r="F114" s="8" t="str">
        <f>HYPERLINK("http://instagram.com/dougrob70","@dougrob70")</f>
        <v>@dougrob70</v>
      </c>
      <c r="G114" s="6" t="s">
        <v>401</v>
      </c>
      <c r="H114" s="6" t="s">
        <v>400</v>
      </c>
      <c r="I114" s="6" t="s">
        <v>402</v>
      </c>
      <c r="J114" s="7"/>
      <c r="K114">
        <v>1</v>
      </c>
    </row>
    <row r="115" spans="1:11" ht="12.75" x14ac:dyDescent="0.2">
      <c r="A115">
        <v>114</v>
      </c>
      <c r="B115" s="6" t="s">
        <v>404</v>
      </c>
      <c r="C115" s="6" t="s">
        <v>405</v>
      </c>
      <c r="D115" s="6" t="s">
        <v>403</v>
      </c>
      <c r="E115" s="7"/>
      <c r="F115" s="7"/>
      <c r="G115" s="7"/>
      <c r="H115" s="7"/>
      <c r="I115" s="7"/>
      <c r="J115" s="7"/>
      <c r="K115">
        <v>1</v>
      </c>
    </row>
    <row r="116" spans="1:11" ht="12.75" x14ac:dyDescent="0.2">
      <c r="A116">
        <v>115</v>
      </c>
      <c r="B116" s="6" t="s">
        <v>407</v>
      </c>
      <c r="C116" s="6" t="s">
        <v>408</v>
      </c>
      <c r="D116" s="6" t="s">
        <v>406</v>
      </c>
      <c r="E116" s="7"/>
      <c r="F116" s="7"/>
      <c r="G116" s="7"/>
      <c r="H116" s="7"/>
      <c r="I116" s="7"/>
      <c r="J116" s="7"/>
      <c r="K116">
        <v>1</v>
      </c>
    </row>
    <row r="117" spans="1:11" ht="12.75" x14ac:dyDescent="0.2">
      <c r="A117">
        <v>116</v>
      </c>
      <c r="B117" s="6" t="s">
        <v>410</v>
      </c>
      <c r="C117" s="6" t="s">
        <v>411</v>
      </c>
      <c r="D117" s="6" t="s">
        <v>409</v>
      </c>
      <c r="E117" s="8" t="str">
        <f>HYPERLINK("https://twitter.com/JMessick82","@JMessick82")</f>
        <v>@JMessick82</v>
      </c>
      <c r="F117" s="8" t="str">
        <f>HYPERLINK("http://instagram.com/JMessick82","@JMessick82")</f>
        <v>@JMessick82</v>
      </c>
      <c r="G117" s="6" t="s">
        <v>413</v>
      </c>
      <c r="H117" s="6" t="s">
        <v>412</v>
      </c>
      <c r="I117" s="7"/>
      <c r="J117" s="7"/>
      <c r="K117">
        <v>1</v>
      </c>
    </row>
    <row r="118" spans="1:11" ht="12.75" x14ac:dyDescent="0.2">
      <c r="A118">
        <v>117</v>
      </c>
      <c r="B118" s="6" t="s">
        <v>415</v>
      </c>
      <c r="C118" s="6" t="s">
        <v>416</v>
      </c>
      <c r="D118" s="6" t="s">
        <v>414</v>
      </c>
      <c r="E118" s="7"/>
      <c r="F118" s="7"/>
      <c r="G118" s="7"/>
      <c r="H118" s="7"/>
      <c r="I118" s="7"/>
      <c r="J118" s="7"/>
      <c r="K118">
        <v>1</v>
      </c>
    </row>
    <row r="119" spans="1:11" ht="12.75" x14ac:dyDescent="0.2">
      <c r="A119">
        <v>118</v>
      </c>
      <c r="B119" s="6" t="s">
        <v>418</v>
      </c>
      <c r="C119" s="6" t="s">
        <v>419</v>
      </c>
      <c r="D119" s="6" t="s">
        <v>417</v>
      </c>
      <c r="E119" s="7"/>
      <c r="F119" s="7"/>
      <c r="G119" s="7"/>
      <c r="H119" s="7"/>
      <c r="I119" s="7"/>
      <c r="J119" s="7"/>
      <c r="K119">
        <v>1</v>
      </c>
    </row>
    <row r="120" spans="1:11" ht="12.75" x14ac:dyDescent="0.2">
      <c r="A120">
        <v>119</v>
      </c>
      <c r="B120" s="6" t="s">
        <v>421</v>
      </c>
      <c r="C120" s="6" t="s">
        <v>422</v>
      </c>
      <c r="D120" s="6" t="s">
        <v>420</v>
      </c>
      <c r="E120" s="7"/>
      <c r="F120" s="7"/>
      <c r="G120" s="7"/>
      <c r="H120" s="7"/>
      <c r="I120" s="7"/>
      <c r="J120" s="7"/>
      <c r="K120">
        <v>1</v>
      </c>
    </row>
    <row r="121" spans="1:11" ht="12.75" x14ac:dyDescent="0.2">
      <c r="A121">
        <v>120</v>
      </c>
      <c r="B121" s="6" t="s">
        <v>424</v>
      </c>
      <c r="C121" s="6" t="s">
        <v>425</v>
      </c>
      <c r="D121" s="6" t="s">
        <v>423</v>
      </c>
      <c r="E121" s="8" t="str">
        <f>HYPERLINK("https://twitter.com/Br3akpad","@Br3akpad")</f>
        <v>@Br3akpad</v>
      </c>
      <c r="F121" s="8" t="str">
        <f>HYPERLINK("http://instagram.com/br3akpad","@Br3akpad")</f>
        <v>@Br3akpad</v>
      </c>
      <c r="G121" s="6" t="s">
        <v>427</v>
      </c>
      <c r="H121" s="6" t="s">
        <v>426</v>
      </c>
      <c r="I121" s="7"/>
      <c r="J121" s="7"/>
      <c r="K121">
        <v>1</v>
      </c>
    </row>
    <row r="122" spans="1:11" ht="12.75" x14ac:dyDescent="0.2">
      <c r="A122">
        <v>121</v>
      </c>
      <c r="B122" s="6" t="s">
        <v>429</v>
      </c>
      <c r="C122" s="6" t="s">
        <v>430</v>
      </c>
      <c r="D122" s="6" t="s">
        <v>428</v>
      </c>
      <c r="E122" s="8" t="str">
        <f>HYPERLINK("https://twitter.com/deelove55","@deelove55")</f>
        <v>@deelove55</v>
      </c>
      <c r="F122" s="7"/>
      <c r="G122" s="6" t="s">
        <v>432</v>
      </c>
      <c r="H122" s="6" t="s">
        <v>431</v>
      </c>
      <c r="I122" s="6" t="s">
        <v>433</v>
      </c>
      <c r="J122" s="7"/>
      <c r="K122">
        <v>1</v>
      </c>
    </row>
    <row r="123" spans="1:11" ht="12.75" x14ac:dyDescent="0.2">
      <c r="A123">
        <v>122</v>
      </c>
      <c r="B123" s="6" t="s">
        <v>435</v>
      </c>
      <c r="C123" s="6" t="s">
        <v>436</v>
      </c>
      <c r="D123" s="6" t="s">
        <v>434</v>
      </c>
      <c r="E123" s="8" t="str">
        <f>HYPERLINK("https://twitter.com/jdscully","@jdscully")</f>
        <v>@jdscully</v>
      </c>
      <c r="F123" s="8" t="str">
        <f>HYPERLINK("http://instagram.com/jdscully95","@jdscully95")</f>
        <v>@jdscully95</v>
      </c>
      <c r="G123" s="7"/>
      <c r="H123" s="6" t="s">
        <v>437</v>
      </c>
      <c r="I123" s="7"/>
      <c r="J123" s="7"/>
      <c r="K123">
        <v>1</v>
      </c>
    </row>
    <row r="124" spans="1:11" ht="12.75" x14ac:dyDescent="0.2">
      <c r="A124">
        <v>123</v>
      </c>
      <c r="B124" s="6" t="s">
        <v>439</v>
      </c>
      <c r="C124" s="6" t="s">
        <v>440</v>
      </c>
      <c r="D124" s="6" t="s">
        <v>438</v>
      </c>
      <c r="E124" s="7"/>
      <c r="F124" s="8" t="str">
        <f>HYPERLINK("http://instagram.com/brett_mcdaniel","@brett_mcdaniel")</f>
        <v>@brett_mcdaniel</v>
      </c>
      <c r="G124" s="6" t="s">
        <v>442</v>
      </c>
      <c r="H124" s="6" t="s">
        <v>441</v>
      </c>
      <c r="I124" s="7"/>
      <c r="J124" s="7"/>
      <c r="K124">
        <v>1</v>
      </c>
    </row>
    <row r="125" spans="1:11" ht="12.75" x14ac:dyDescent="0.2">
      <c r="A125">
        <v>124</v>
      </c>
      <c r="B125" s="6" t="s">
        <v>444</v>
      </c>
      <c r="C125" s="6" t="s">
        <v>445</v>
      </c>
      <c r="D125" s="6" t="s">
        <v>443</v>
      </c>
      <c r="E125" s="7"/>
      <c r="F125" s="7"/>
      <c r="G125" s="7"/>
      <c r="H125" s="7"/>
      <c r="I125" s="7"/>
      <c r="J125" s="7"/>
      <c r="K125">
        <v>1</v>
      </c>
    </row>
    <row r="126" spans="1:11" ht="12.75" x14ac:dyDescent="0.2">
      <c r="A126">
        <v>125</v>
      </c>
      <c r="B126" s="6" t="s">
        <v>447</v>
      </c>
      <c r="C126" s="6" t="s">
        <v>448</v>
      </c>
      <c r="D126" s="6" t="s">
        <v>446</v>
      </c>
      <c r="E126" s="7"/>
      <c r="F126" s="7"/>
      <c r="G126" s="7"/>
      <c r="H126" s="7"/>
      <c r="I126" s="7"/>
      <c r="J126" s="7"/>
      <c r="K126">
        <v>1</v>
      </c>
    </row>
    <row r="127" spans="1:11" ht="12.75" x14ac:dyDescent="0.2">
      <c r="A127">
        <v>126</v>
      </c>
      <c r="B127" s="6" t="s">
        <v>450</v>
      </c>
      <c r="C127" s="6" t="s">
        <v>451</v>
      </c>
      <c r="D127" s="6" t="s">
        <v>449</v>
      </c>
      <c r="E127" s="7"/>
      <c r="F127" s="7"/>
      <c r="G127" s="7"/>
      <c r="H127" s="7"/>
      <c r="I127" s="7"/>
      <c r="J127" s="7"/>
      <c r="K127">
        <v>1</v>
      </c>
    </row>
    <row r="128" spans="1:11" ht="12.75" x14ac:dyDescent="0.2">
      <c r="A128">
        <v>127</v>
      </c>
      <c r="B128" s="6" t="s">
        <v>453</v>
      </c>
      <c r="C128" s="6" t="s">
        <v>454</v>
      </c>
      <c r="D128" s="6" t="s">
        <v>452</v>
      </c>
      <c r="E128" s="7"/>
      <c r="F128" s="7"/>
      <c r="G128" s="7"/>
      <c r="H128" s="7"/>
      <c r="I128" s="7"/>
      <c r="J128" s="7"/>
      <c r="K128">
        <v>1</v>
      </c>
    </row>
    <row r="129" spans="1:11" ht="12.75" x14ac:dyDescent="0.2">
      <c r="A129">
        <v>128</v>
      </c>
      <c r="B129" s="6" t="s">
        <v>456</v>
      </c>
      <c r="C129" s="6" t="s">
        <v>457</v>
      </c>
      <c r="D129" s="6" t="s">
        <v>455</v>
      </c>
      <c r="E129" s="7"/>
      <c r="F129" s="7"/>
      <c r="G129" s="7"/>
      <c r="H129" s="7"/>
      <c r="I129" s="7"/>
      <c r="J129" s="7"/>
      <c r="K129">
        <v>1</v>
      </c>
    </row>
    <row r="130" spans="1:11" ht="12.75" x14ac:dyDescent="0.2">
      <c r="A130">
        <v>129</v>
      </c>
      <c r="B130" s="6" t="s">
        <v>459</v>
      </c>
      <c r="C130" s="6" t="s">
        <v>460</v>
      </c>
      <c r="D130" s="6" t="s">
        <v>458</v>
      </c>
      <c r="E130" s="7"/>
      <c r="F130" s="7"/>
      <c r="G130" s="7"/>
      <c r="H130" s="7"/>
      <c r="I130" s="7"/>
      <c r="J130" s="7"/>
      <c r="K130">
        <v>1</v>
      </c>
    </row>
    <row r="131" spans="1:11" ht="12.75" x14ac:dyDescent="0.2">
      <c r="A131">
        <v>130</v>
      </c>
      <c r="B131" s="6" t="s">
        <v>462</v>
      </c>
      <c r="C131" s="6" t="s">
        <v>463</v>
      </c>
      <c r="D131" s="6" t="s">
        <v>461</v>
      </c>
      <c r="E131" s="7"/>
      <c r="F131" s="7"/>
      <c r="G131" s="7"/>
      <c r="H131" s="7"/>
      <c r="I131" s="7"/>
      <c r="J131" s="7"/>
      <c r="K131">
        <v>1</v>
      </c>
    </row>
    <row r="132" spans="1:11" ht="12.75" x14ac:dyDescent="0.2">
      <c r="A132">
        <v>131</v>
      </c>
      <c r="B132" s="6" t="s">
        <v>465</v>
      </c>
      <c r="C132" s="6" t="s">
        <v>466</v>
      </c>
      <c r="D132" s="6" t="s">
        <v>464</v>
      </c>
      <c r="E132" s="8" t="str">
        <f>HYPERLINK("https://twitter.com/19mitchs88","@19mitchs88")</f>
        <v>@19mitchs88</v>
      </c>
      <c r="F132" s="8" t="str">
        <f>HYPERLINK("http://instagram.com/19mitchs88","@19mitchs88")</f>
        <v>@19mitchs88</v>
      </c>
      <c r="G132" s="7"/>
      <c r="H132" s="6" t="s">
        <v>467</v>
      </c>
      <c r="I132" s="7"/>
      <c r="J132" s="7"/>
      <c r="K132">
        <v>1</v>
      </c>
    </row>
    <row r="133" spans="1:11" ht="12.75" x14ac:dyDescent="0.2">
      <c r="A133">
        <v>132</v>
      </c>
      <c r="B133" s="6" t="s">
        <v>469</v>
      </c>
      <c r="C133" s="6" t="s">
        <v>470</v>
      </c>
      <c r="D133" s="6" t="s">
        <v>468</v>
      </c>
      <c r="E133" s="7"/>
      <c r="F133" s="7"/>
      <c r="G133" s="7"/>
      <c r="H133" s="7"/>
      <c r="I133" s="7"/>
      <c r="J133" s="7"/>
      <c r="K133">
        <v>1</v>
      </c>
    </row>
    <row r="134" spans="1:11" ht="12.75" x14ac:dyDescent="0.2">
      <c r="A134">
        <v>133</v>
      </c>
      <c r="B134" s="6" t="s">
        <v>472</v>
      </c>
      <c r="C134" s="6" t="s">
        <v>473</v>
      </c>
      <c r="D134" s="6" t="s">
        <v>471</v>
      </c>
      <c r="E134" s="7"/>
      <c r="F134" s="7"/>
      <c r="G134" s="7"/>
      <c r="H134" s="7"/>
      <c r="I134" s="7"/>
      <c r="J134" s="7"/>
      <c r="K134">
        <v>1</v>
      </c>
    </row>
    <row r="135" spans="1:11" ht="12.75" x14ac:dyDescent="0.2">
      <c r="A135">
        <v>134</v>
      </c>
      <c r="B135" s="6" t="s">
        <v>475</v>
      </c>
      <c r="C135" s="6" t="s">
        <v>476</v>
      </c>
      <c r="D135" s="6" t="s">
        <v>474</v>
      </c>
      <c r="E135" s="7"/>
      <c r="F135" s="7"/>
      <c r="G135" s="7"/>
      <c r="H135" s="7"/>
      <c r="I135" s="7"/>
      <c r="J135" s="7"/>
      <c r="K135">
        <v>1</v>
      </c>
    </row>
    <row r="136" spans="1:11" ht="12.75" x14ac:dyDescent="0.2">
      <c r="A136">
        <v>135</v>
      </c>
      <c r="B136" s="6" t="s">
        <v>478</v>
      </c>
      <c r="C136" s="6" t="s">
        <v>479</v>
      </c>
      <c r="D136" s="6" t="s">
        <v>477</v>
      </c>
      <c r="E136" s="8" t="str">
        <f>HYPERLINK("https://twitter.com/gregdevo","@gregdevo")</f>
        <v>@gregdevo</v>
      </c>
      <c r="F136" s="8" t="str">
        <f>HYPERLINK("http://instagram.com/gregdevo","@gregdevo")</f>
        <v>@gregdevo</v>
      </c>
      <c r="G136" s="7"/>
      <c r="H136" s="6" t="s">
        <v>480</v>
      </c>
      <c r="I136" s="7"/>
      <c r="J136" s="7"/>
      <c r="K136">
        <v>1</v>
      </c>
    </row>
    <row r="137" spans="1:11" ht="12.75" x14ac:dyDescent="0.2">
      <c r="A137">
        <v>136</v>
      </c>
      <c r="B137" s="6" t="s">
        <v>482</v>
      </c>
      <c r="C137" s="6" t="s">
        <v>483</v>
      </c>
      <c r="D137" s="6" t="s">
        <v>481</v>
      </c>
      <c r="E137" s="8" t="str">
        <f>HYPERLINK("https://twitter.com/SteveTheMan_tm","@stevetheman_tm")</f>
        <v>@stevetheman_tm</v>
      </c>
      <c r="F137" s="8" t="str">
        <f>HYPERLINK("http://instagram.com/stevetheman_tm","@stevetheman_tm")</f>
        <v>@stevetheman_tm</v>
      </c>
      <c r="G137" s="6" t="s">
        <v>485</v>
      </c>
      <c r="H137" s="6" t="s">
        <v>484</v>
      </c>
      <c r="I137" s="7"/>
      <c r="J137" s="7"/>
      <c r="K137">
        <v>1</v>
      </c>
    </row>
    <row r="138" spans="1:11" ht="12.75" x14ac:dyDescent="0.2">
      <c r="A138">
        <v>137</v>
      </c>
      <c r="B138" s="6" t="s">
        <v>487</v>
      </c>
      <c r="C138" s="6" t="s">
        <v>488</v>
      </c>
      <c r="D138" s="6" t="s">
        <v>486</v>
      </c>
      <c r="E138" s="7"/>
      <c r="F138" s="7"/>
      <c r="G138" s="7"/>
      <c r="H138" s="7"/>
      <c r="I138" s="7"/>
      <c r="J138" s="7"/>
      <c r="K138">
        <v>1</v>
      </c>
    </row>
    <row r="139" spans="1:11" ht="12.75" x14ac:dyDescent="0.2">
      <c r="A139">
        <v>138</v>
      </c>
      <c r="B139" s="6" t="s">
        <v>490</v>
      </c>
      <c r="C139" s="6" t="s">
        <v>491</v>
      </c>
      <c r="D139" s="6" t="s">
        <v>489</v>
      </c>
      <c r="E139" s="8" t="str">
        <f>HYPERLINK("https://twitter.com/KEITHMODE","@keithmode")</f>
        <v>@keithmode</v>
      </c>
      <c r="F139" s="8" t="str">
        <f>HYPERLINK("http://instagram.com/keithmode","@keithmode")</f>
        <v>@keithmode</v>
      </c>
      <c r="G139" s="6" t="s">
        <v>493</v>
      </c>
      <c r="H139" s="6" t="s">
        <v>492</v>
      </c>
      <c r="I139" s="7"/>
      <c r="J139" s="7"/>
      <c r="K139">
        <v>1</v>
      </c>
    </row>
    <row r="140" spans="1:11" ht="12.75" x14ac:dyDescent="0.2">
      <c r="A140">
        <v>139</v>
      </c>
      <c r="B140" s="6" t="s">
        <v>495</v>
      </c>
      <c r="C140" s="6" t="s">
        <v>496</v>
      </c>
      <c r="D140" s="6" t="s">
        <v>494</v>
      </c>
      <c r="E140" s="7"/>
      <c r="F140" s="7"/>
      <c r="G140" s="7"/>
      <c r="H140" s="7"/>
      <c r="I140" s="7"/>
      <c r="J140" s="7"/>
      <c r="K140">
        <v>1</v>
      </c>
    </row>
    <row r="141" spans="1:11" ht="12.75" x14ac:dyDescent="0.2">
      <c r="A141">
        <v>140</v>
      </c>
      <c r="B141" s="6" t="s">
        <v>498</v>
      </c>
      <c r="C141" s="6" t="s">
        <v>499</v>
      </c>
      <c r="D141" s="6" t="s">
        <v>497</v>
      </c>
      <c r="E141" s="8" t="str">
        <f>HYPERLINK("https://twitter.com/donk3900","@donk3900")</f>
        <v>@donk3900</v>
      </c>
      <c r="F141" s="8" t="str">
        <f>HYPERLINK("http://instagram.com/tjh133","@TJH133")</f>
        <v>@TJH133</v>
      </c>
      <c r="G141" s="7"/>
      <c r="H141" s="6" t="s">
        <v>500</v>
      </c>
      <c r="I141" s="7"/>
      <c r="J141" s="7"/>
      <c r="K141">
        <v>1</v>
      </c>
    </row>
    <row r="142" spans="1:11" ht="12.75" x14ac:dyDescent="0.2">
      <c r="A142">
        <v>141</v>
      </c>
      <c r="B142" s="6" t="s">
        <v>502</v>
      </c>
      <c r="C142" s="6" t="s">
        <v>503</v>
      </c>
      <c r="D142" s="6" t="s">
        <v>501</v>
      </c>
      <c r="E142" s="7"/>
      <c r="F142" s="7"/>
      <c r="G142" s="7"/>
      <c r="H142" s="7"/>
      <c r="I142" s="7"/>
      <c r="J142" s="7"/>
      <c r="K142">
        <v>1</v>
      </c>
    </row>
    <row r="143" spans="1:11" ht="12.75" x14ac:dyDescent="0.2">
      <c r="A143">
        <v>142</v>
      </c>
      <c r="B143" s="6" t="s">
        <v>505</v>
      </c>
      <c r="C143" s="6"/>
      <c r="D143" s="6" t="s">
        <v>504</v>
      </c>
      <c r="E143" s="8" t="str">
        <f>HYPERLINK("https://twitter.com/thegooser","@thegooser")</f>
        <v>@thegooser</v>
      </c>
      <c r="F143" s="8" t="str">
        <f>HYPERLINK("http://instagram.com/thegooser1","@thegooser1")</f>
        <v>@thegooser1</v>
      </c>
      <c r="G143" s="6" t="s">
        <v>507</v>
      </c>
      <c r="H143" s="6" t="s">
        <v>506</v>
      </c>
      <c r="I143" s="6" t="s">
        <v>508</v>
      </c>
      <c r="J143" s="7"/>
      <c r="K143">
        <v>1</v>
      </c>
    </row>
    <row r="144" spans="1:11" ht="12.75" x14ac:dyDescent="0.2">
      <c r="A144">
        <v>143</v>
      </c>
      <c r="B144" s="6" t="s">
        <v>510</v>
      </c>
      <c r="C144" s="6" t="s">
        <v>511</v>
      </c>
      <c r="D144" s="6" t="s">
        <v>509</v>
      </c>
      <c r="E144" s="8" t="str">
        <f>HYPERLINK("https://twitter.com/Richybang","@richybang")</f>
        <v>@richybang</v>
      </c>
      <c r="F144" s="8" t="str">
        <f>HYPERLINK("http://instagram.com/richybang","@richybang")</f>
        <v>@richybang</v>
      </c>
      <c r="G144" s="6" t="s">
        <v>513</v>
      </c>
      <c r="H144" s="6" t="s">
        <v>512</v>
      </c>
      <c r="I144" s="7"/>
      <c r="J144" s="7"/>
      <c r="K144">
        <v>1</v>
      </c>
    </row>
    <row r="145" spans="1:11" ht="12.75" x14ac:dyDescent="0.2">
      <c r="A145">
        <v>144</v>
      </c>
      <c r="B145" s="6" t="s">
        <v>515</v>
      </c>
      <c r="C145" s="6" t="s">
        <v>516</v>
      </c>
      <c r="D145" s="6" t="s">
        <v>514</v>
      </c>
      <c r="E145" s="7"/>
      <c r="F145" s="7"/>
      <c r="G145" s="7"/>
      <c r="H145" s="7"/>
      <c r="I145" s="7"/>
      <c r="J145" s="7"/>
      <c r="K145">
        <v>1</v>
      </c>
    </row>
    <row r="146" spans="1:11" ht="12.75" x14ac:dyDescent="0.2">
      <c r="A146">
        <v>145</v>
      </c>
      <c r="B146" s="6" t="s">
        <v>518</v>
      </c>
      <c r="C146" s="6" t="s">
        <v>519</v>
      </c>
      <c r="D146" s="6" t="s">
        <v>517</v>
      </c>
      <c r="E146" s="7"/>
      <c r="F146" s="7"/>
      <c r="G146" s="7"/>
      <c r="H146" s="7"/>
      <c r="I146" s="7"/>
      <c r="J146" s="7"/>
      <c r="K146">
        <v>1</v>
      </c>
    </row>
    <row r="147" spans="1:11" ht="12.75" x14ac:dyDescent="0.2">
      <c r="A147">
        <v>146</v>
      </c>
      <c r="B147" s="6" t="s">
        <v>521</v>
      </c>
      <c r="C147" s="6" t="s">
        <v>522</v>
      </c>
      <c r="D147" s="6" t="s">
        <v>520</v>
      </c>
      <c r="E147" s="7"/>
      <c r="F147" s="7"/>
      <c r="G147" s="7"/>
      <c r="H147" s="7"/>
      <c r="I147" s="7"/>
      <c r="J147" s="7"/>
      <c r="K147">
        <v>1</v>
      </c>
    </row>
    <row r="148" spans="1:11" ht="12.75" x14ac:dyDescent="0.2">
      <c r="A148">
        <v>147</v>
      </c>
      <c r="B148" s="6" t="s">
        <v>524</v>
      </c>
      <c r="C148" s="6" t="s">
        <v>525</v>
      </c>
      <c r="D148" s="6" t="s">
        <v>523</v>
      </c>
      <c r="E148" s="8" t="str">
        <f>HYPERLINK("https://twitter.com/Dutch_RDS","@Dutch_RDS")</f>
        <v>@Dutch_RDS</v>
      </c>
      <c r="F148" s="8" t="str">
        <f>HYPERLINK("http://instagram.com/dutch_rds","@Dutch_RDS")</f>
        <v>@Dutch_RDS</v>
      </c>
      <c r="G148" s="6" t="s">
        <v>527</v>
      </c>
      <c r="H148" s="6" t="s">
        <v>526</v>
      </c>
      <c r="I148" s="6" t="s">
        <v>528</v>
      </c>
      <c r="J148" s="7"/>
      <c r="K148">
        <v>1</v>
      </c>
    </row>
    <row r="149" spans="1:11" ht="12.75" x14ac:dyDescent="0.2">
      <c r="A149">
        <v>148</v>
      </c>
      <c r="B149" s="6" t="s">
        <v>530</v>
      </c>
      <c r="C149" s="6" t="s">
        <v>531</v>
      </c>
      <c r="D149" s="6" t="s">
        <v>529</v>
      </c>
      <c r="E149" s="7"/>
      <c r="F149" s="7"/>
      <c r="G149" s="7"/>
      <c r="H149" s="7"/>
      <c r="I149" s="7"/>
      <c r="J149" s="7"/>
      <c r="K149">
        <v>1</v>
      </c>
    </row>
    <row r="150" spans="1:11" ht="12.75" x14ac:dyDescent="0.2">
      <c r="A150">
        <v>149</v>
      </c>
      <c r="B150" s="6" t="s">
        <v>533</v>
      </c>
      <c r="C150" s="6" t="s">
        <v>534</v>
      </c>
      <c r="D150" s="6" t="s">
        <v>532</v>
      </c>
      <c r="E150" s="8" t="str">
        <f>HYPERLINK("https://twitter.com/jizzay_klitt","@jizzay_klitt")</f>
        <v>@jizzay_klitt</v>
      </c>
      <c r="F150" s="8" t="str">
        <f>HYPERLINK("http://instagram.com/jizzay_klitt","@jizzay_klitt")</f>
        <v>@jizzay_klitt</v>
      </c>
      <c r="G150" s="7"/>
      <c r="H150" s="6" t="s">
        <v>535</v>
      </c>
      <c r="I150" s="7"/>
      <c r="J150" s="7"/>
      <c r="K150">
        <v>1</v>
      </c>
    </row>
    <row r="151" spans="1:11" ht="12.75" x14ac:dyDescent="0.2">
      <c r="A151">
        <v>150</v>
      </c>
      <c r="B151" s="6" t="s">
        <v>537</v>
      </c>
      <c r="C151" s="6" t="s">
        <v>538</v>
      </c>
      <c r="D151" s="6" t="s">
        <v>536</v>
      </c>
      <c r="E151" s="7"/>
      <c r="F151" s="7"/>
      <c r="G151" s="7"/>
      <c r="H151" s="7"/>
      <c r="I151" s="7"/>
      <c r="J151" s="7"/>
      <c r="K151">
        <v>1</v>
      </c>
    </row>
    <row r="152" spans="1:11" ht="12.75" x14ac:dyDescent="0.2">
      <c r="A152">
        <v>151</v>
      </c>
      <c r="B152" s="6" t="s">
        <v>540</v>
      </c>
      <c r="C152" s="6" t="s">
        <v>541</v>
      </c>
      <c r="D152" s="6" t="s">
        <v>539</v>
      </c>
      <c r="E152" s="7"/>
      <c r="F152" s="7"/>
      <c r="G152" s="7"/>
      <c r="H152" s="7"/>
      <c r="I152" s="7"/>
      <c r="J152" s="7"/>
      <c r="K152">
        <v>1</v>
      </c>
    </row>
    <row r="153" spans="1:11" ht="12.75" x14ac:dyDescent="0.2">
      <c r="A153">
        <v>152</v>
      </c>
      <c r="B153" s="6" t="s">
        <v>543</v>
      </c>
      <c r="C153" s="7"/>
      <c r="D153" s="6" t="s">
        <v>542</v>
      </c>
      <c r="E153" s="7"/>
      <c r="F153" s="7"/>
      <c r="G153" s="7"/>
      <c r="H153" s="7"/>
      <c r="I153" s="7"/>
      <c r="J153" s="7"/>
      <c r="K153">
        <v>1</v>
      </c>
    </row>
    <row r="154" spans="1:11" ht="12.75" x14ac:dyDescent="0.2">
      <c r="A154">
        <v>153</v>
      </c>
      <c r="B154" s="6" t="s">
        <v>545</v>
      </c>
      <c r="C154" s="6" t="s">
        <v>546</v>
      </c>
      <c r="D154" s="6" t="s">
        <v>544</v>
      </c>
      <c r="E154" s="7"/>
      <c r="F154" s="7"/>
      <c r="G154" s="7"/>
      <c r="H154" s="7"/>
      <c r="I154" s="7"/>
      <c r="J154" s="7"/>
      <c r="K154">
        <v>1</v>
      </c>
    </row>
    <row r="155" spans="1:11" ht="12.75" x14ac:dyDescent="0.2">
      <c r="A155">
        <v>154</v>
      </c>
      <c r="B155" s="6" t="s">
        <v>548</v>
      </c>
      <c r="C155" s="6" t="s">
        <v>549</v>
      </c>
      <c r="D155" s="6" t="s">
        <v>547</v>
      </c>
      <c r="E155" s="7"/>
      <c r="F155" s="7"/>
      <c r="G155" s="7"/>
      <c r="H155" s="7"/>
      <c r="I155" s="7"/>
      <c r="J155" s="7"/>
      <c r="K155">
        <v>1</v>
      </c>
    </row>
    <row r="156" spans="1:11" ht="12.75" x14ac:dyDescent="0.2">
      <c r="A156">
        <v>155</v>
      </c>
      <c r="B156" s="6" t="s">
        <v>551</v>
      </c>
      <c r="C156" s="6" t="s">
        <v>552</v>
      </c>
      <c r="D156" s="6" t="s">
        <v>550</v>
      </c>
      <c r="E156" s="7"/>
      <c r="F156" s="7"/>
      <c r="G156" s="7"/>
      <c r="H156" s="7"/>
      <c r="I156" s="7"/>
      <c r="J156" s="7"/>
      <c r="K156">
        <v>1</v>
      </c>
    </row>
    <row r="157" spans="1:11" ht="12.75" x14ac:dyDescent="0.2">
      <c r="A157">
        <v>156</v>
      </c>
      <c r="B157" s="6" t="s">
        <v>554</v>
      </c>
      <c r="C157" s="6" t="s">
        <v>555</v>
      </c>
      <c r="D157" s="6" t="s">
        <v>553</v>
      </c>
      <c r="E157" s="7"/>
      <c r="F157" s="8" t="str">
        <f>HYPERLINK("http://instagram.com/elephant_dick","@elephant_dick")</f>
        <v>@elephant_dick</v>
      </c>
      <c r="G157" s="7"/>
      <c r="H157" s="6" t="s">
        <v>556</v>
      </c>
      <c r="I157" s="7"/>
      <c r="J157" s="7"/>
      <c r="K157">
        <v>1</v>
      </c>
    </row>
    <row r="158" spans="1:11" ht="12.75" x14ac:dyDescent="0.2">
      <c r="A158">
        <v>157</v>
      </c>
      <c r="B158" s="6" t="s">
        <v>558</v>
      </c>
      <c r="C158" s="6" t="s">
        <v>559</v>
      </c>
      <c r="D158" s="6" t="s">
        <v>557</v>
      </c>
      <c r="E158" s="8" t="str">
        <f>HYPERLINK("https://twitter.com/anthony__knight","@anthony__knight")</f>
        <v>@anthony__knight</v>
      </c>
      <c r="F158" s="8" t="str">
        <f>HYPERLINK("http://instagram.com/rooster240","@rooster240")</f>
        <v>@rooster240</v>
      </c>
      <c r="G158" s="7"/>
      <c r="H158" s="6" t="s">
        <v>560</v>
      </c>
      <c r="I158" s="7"/>
      <c r="J158" s="7"/>
      <c r="K158">
        <v>1</v>
      </c>
    </row>
    <row r="159" spans="1:11" ht="12.75" x14ac:dyDescent="0.2">
      <c r="A159">
        <v>158</v>
      </c>
      <c r="B159" s="6" t="s">
        <v>562</v>
      </c>
      <c r="C159" s="6" t="s">
        <v>563</v>
      </c>
      <c r="D159" s="6" t="s">
        <v>561</v>
      </c>
      <c r="E159" s="7"/>
      <c r="F159" s="7"/>
      <c r="G159" s="7"/>
      <c r="H159" s="7"/>
      <c r="I159" s="7"/>
      <c r="J159" s="7"/>
      <c r="K159">
        <v>1</v>
      </c>
    </row>
    <row r="160" spans="1:11" ht="12.75" x14ac:dyDescent="0.2">
      <c r="A160">
        <v>159</v>
      </c>
      <c r="B160" s="6" t="s">
        <v>565</v>
      </c>
      <c r="C160" s="6" t="s">
        <v>566</v>
      </c>
      <c r="D160" s="6" t="s">
        <v>564</v>
      </c>
      <c r="E160" s="7"/>
      <c r="F160" s="7"/>
      <c r="G160" s="7"/>
      <c r="H160" s="7"/>
      <c r="I160" s="7"/>
      <c r="J160" s="7"/>
      <c r="K160">
        <v>1</v>
      </c>
    </row>
    <row r="161" spans="1:11" ht="12.75" x14ac:dyDescent="0.2">
      <c r="A161">
        <v>160</v>
      </c>
      <c r="B161" s="6" t="s">
        <v>568</v>
      </c>
      <c r="C161" s="6" t="s">
        <v>569</v>
      </c>
      <c r="D161" s="6" t="s">
        <v>567</v>
      </c>
      <c r="E161" s="7"/>
      <c r="F161" s="7"/>
      <c r="G161" s="7"/>
      <c r="H161" s="7"/>
      <c r="I161" s="7"/>
      <c r="J161" s="7"/>
      <c r="K161">
        <v>1</v>
      </c>
    </row>
    <row r="162" spans="1:11" ht="12.75" x14ac:dyDescent="0.2">
      <c r="A162">
        <v>161</v>
      </c>
      <c r="B162" s="6" t="s">
        <v>571</v>
      </c>
      <c r="C162" s="6" t="s">
        <v>572</v>
      </c>
      <c r="D162" s="6" t="s">
        <v>570</v>
      </c>
      <c r="E162" s="8" t="str">
        <f>HYPERLINK("https://twitter.com/ihatecumfat","@ihatecumfat")</f>
        <v>@ihatecumfat</v>
      </c>
      <c r="F162" s="7"/>
      <c r="G162" s="6" t="s">
        <v>574</v>
      </c>
      <c r="H162" s="6" t="s">
        <v>573</v>
      </c>
      <c r="I162" s="7"/>
      <c r="J162" s="7"/>
      <c r="K162">
        <v>1</v>
      </c>
    </row>
    <row r="163" spans="1:11" ht="12.75" x14ac:dyDescent="0.2">
      <c r="A163">
        <v>162</v>
      </c>
      <c r="B163" s="6" t="s">
        <v>576</v>
      </c>
      <c r="C163" s="6" t="s">
        <v>577</v>
      </c>
      <c r="D163" s="6" t="s">
        <v>575</v>
      </c>
      <c r="E163" s="7"/>
      <c r="F163" s="7"/>
      <c r="G163" s="7"/>
      <c r="H163" s="7"/>
      <c r="I163" s="7"/>
      <c r="J163" s="7"/>
      <c r="K163">
        <v>1</v>
      </c>
    </row>
    <row r="164" spans="1:11" ht="12.75" x14ac:dyDescent="0.2">
      <c r="A164">
        <v>163</v>
      </c>
      <c r="B164" s="6" t="s">
        <v>579</v>
      </c>
      <c r="C164" s="6" t="s">
        <v>580</v>
      </c>
      <c r="D164" s="6" t="s">
        <v>578</v>
      </c>
      <c r="E164" s="7"/>
      <c r="F164" s="7"/>
      <c r="G164" s="7"/>
      <c r="H164" s="7"/>
      <c r="I164" s="7"/>
      <c r="J164" s="7"/>
      <c r="K164">
        <v>1</v>
      </c>
    </row>
    <row r="165" spans="1:11" ht="12.75" x14ac:dyDescent="0.2">
      <c r="A165">
        <v>164</v>
      </c>
      <c r="B165" s="6" t="s">
        <v>582</v>
      </c>
      <c r="C165" s="6" t="s">
        <v>583</v>
      </c>
      <c r="D165" s="6" t="s">
        <v>581</v>
      </c>
      <c r="E165" s="7"/>
      <c r="F165" s="7"/>
      <c r="G165" s="7"/>
      <c r="H165" s="7"/>
      <c r="I165" s="7"/>
      <c r="J165" s="7"/>
      <c r="K165">
        <v>1</v>
      </c>
    </row>
    <row r="166" spans="1:11" ht="12.75" x14ac:dyDescent="0.2">
      <c r="A166">
        <v>165</v>
      </c>
      <c r="B166" s="6" t="s">
        <v>585</v>
      </c>
      <c r="C166" s="6" t="s">
        <v>586</v>
      </c>
      <c r="D166" s="6" t="s">
        <v>584</v>
      </c>
      <c r="E166" s="7"/>
      <c r="F166" s="7"/>
      <c r="G166" s="7"/>
      <c r="H166" s="7"/>
      <c r="I166" s="7"/>
      <c r="J166" s="7"/>
      <c r="K166">
        <v>1</v>
      </c>
    </row>
    <row r="167" spans="1:11" ht="12.75" x14ac:dyDescent="0.2">
      <c r="A167">
        <v>166</v>
      </c>
      <c r="B167" s="6" t="s">
        <v>588</v>
      </c>
      <c r="C167" s="6" t="s">
        <v>589</v>
      </c>
      <c r="D167" s="6" t="s">
        <v>587</v>
      </c>
      <c r="E167" s="7"/>
      <c r="F167" s="7"/>
      <c r="G167" s="7"/>
      <c r="H167" s="7"/>
      <c r="I167" s="7"/>
      <c r="J167" s="7"/>
      <c r="K167">
        <v>1</v>
      </c>
    </row>
    <row r="168" spans="1:11" ht="12.75" x14ac:dyDescent="0.2">
      <c r="A168">
        <v>167</v>
      </c>
      <c r="B168" s="6" t="s">
        <v>591</v>
      </c>
      <c r="C168" s="6" t="s">
        <v>592</v>
      </c>
      <c r="D168" s="6" t="s">
        <v>590</v>
      </c>
      <c r="E168" s="8" t="str">
        <f>HYPERLINK("https://twitter.com/adamb2001","@adamb2001")</f>
        <v>@adamb2001</v>
      </c>
      <c r="F168" s="8" t="str">
        <f>HYPERLINK("http://instagram.com/adamb2001","@adamb2001")</f>
        <v>@adamb2001</v>
      </c>
      <c r="G168" s="6" t="s">
        <v>594</v>
      </c>
      <c r="H168" s="6" t="s">
        <v>593</v>
      </c>
      <c r="I168" s="7"/>
      <c r="J168" s="7"/>
      <c r="K168">
        <v>1</v>
      </c>
    </row>
    <row r="169" spans="1:11" ht="12.75" x14ac:dyDescent="0.2">
      <c r="A169">
        <v>168</v>
      </c>
      <c r="B169" s="6" t="s">
        <v>596</v>
      </c>
      <c r="C169" s="6" t="s">
        <v>597</v>
      </c>
      <c r="D169" s="6" t="s">
        <v>595</v>
      </c>
      <c r="E169" s="7"/>
      <c r="F169" s="7"/>
      <c r="G169" s="7"/>
      <c r="H169" s="7"/>
      <c r="I169" s="7"/>
      <c r="J169" s="7"/>
      <c r="K169">
        <v>1</v>
      </c>
    </row>
    <row r="170" spans="1:11" ht="12.75" x14ac:dyDescent="0.2">
      <c r="A170">
        <v>169</v>
      </c>
      <c r="B170" s="6" t="s">
        <v>599</v>
      </c>
      <c r="C170" s="6" t="s">
        <v>600</v>
      </c>
      <c r="D170" s="6" t="s">
        <v>598</v>
      </c>
      <c r="E170" s="7"/>
      <c r="F170" s="7"/>
      <c r="G170" s="7"/>
      <c r="H170" s="7"/>
      <c r="I170" s="7"/>
      <c r="J170" s="7"/>
      <c r="K170">
        <v>1</v>
      </c>
    </row>
    <row r="171" spans="1:11" ht="12.75" x14ac:dyDescent="0.2">
      <c r="A171">
        <v>170</v>
      </c>
      <c r="B171" s="6" t="s">
        <v>602</v>
      </c>
      <c r="C171" s="6" t="s">
        <v>603</v>
      </c>
      <c r="D171" s="6" t="s">
        <v>601</v>
      </c>
      <c r="E171" s="7"/>
      <c r="F171" s="7"/>
      <c r="G171" s="7"/>
      <c r="H171" s="7"/>
      <c r="I171" s="7"/>
      <c r="J171" s="7"/>
      <c r="K171">
        <v>1</v>
      </c>
    </row>
    <row r="172" spans="1:11" ht="12.75" x14ac:dyDescent="0.2">
      <c r="A172">
        <v>171</v>
      </c>
      <c r="B172" s="6" t="s">
        <v>605</v>
      </c>
      <c r="C172" s="6" t="s">
        <v>606</v>
      </c>
      <c r="D172" s="6" t="s">
        <v>604</v>
      </c>
      <c r="E172" s="8" t="str">
        <f>HYPERLINK("https://twitter.com/steelystevenson","@steelystevenson")</f>
        <v>@steelystevenson</v>
      </c>
      <c r="F172" s="8" t="str">
        <f>HYPERLINK("http://instagram.com/steelystevenson","@steelystevenson")</f>
        <v>@steelystevenson</v>
      </c>
      <c r="G172" s="7"/>
      <c r="H172" s="6" t="s">
        <v>607</v>
      </c>
      <c r="I172" s="7"/>
      <c r="J172" s="7"/>
      <c r="K172">
        <v>1</v>
      </c>
    </row>
    <row r="173" spans="1:11" ht="12.75" x14ac:dyDescent="0.2">
      <c r="A173">
        <v>172</v>
      </c>
      <c r="B173" s="6" t="s">
        <v>609</v>
      </c>
      <c r="C173" s="6" t="s">
        <v>610</v>
      </c>
      <c r="D173" s="6" t="s">
        <v>608</v>
      </c>
      <c r="E173" s="7"/>
      <c r="F173" s="7"/>
      <c r="G173" s="7"/>
      <c r="H173" s="7"/>
      <c r="I173" s="7"/>
      <c r="J173" s="7"/>
      <c r="K173">
        <v>1</v>
      </c>
    </row>
    <row r="174" spans="1:11" ht="12.75" x14ac:dyDescent="0.2">
      <c r="A174">
        <v>173</v>
      </c>
      <c r="B174" s="6" t="s">
        <v>612</v>
      </c>
      <c r="C174" s="6" t="s">
        <v>613</v>
      </c>
      <c r="D174" s="6" t="s">
        <v>611</v>
      </c>
      <c r="E174" s="7"/>
      <c r="F174" s="7"/>
      <c r="G174" s="7"/>
      <c r="H174" s="7"/>
      <c r="I174" s="7"/>
      <c r="J174" s="7"/>
      <c r="K174">
        <v>1</v>
      </c>
    </row>
    <row r="175" spans="1:11" ht="12.75" x14ac:dyDescent="0.2">
      <c r="A175">
        <v>174</v>
      </c>
      <c r="B175" s="6" t="s">
        <v>615</v>
      </c>
      <c r="C175" s="6" t="s">
        <v>616</v>
      </c>
      <c r="D175" s="6" t="s">
        <v>614</v>
      </c>
      <c r="E175" s="7"/>
      <c r="F175" s="7"/>
      <c r="G175" s="7"/>
      <c r="H175" s="7"/>
      <c r="I175" s="7"/>
      <c r="J175" s="7"/>
      <c r="K175">
        <v>1</v>
      </c>
    </row>
    <row r="176" spans="1:11" ht="12.75" x14ac:dyDescent="0.2">
      <c r="A176">
        <v>175</v>
      </c>
      <c r="B176" s="6" t="s">
        <v>618</v>
      </c>
      <c r="C176" s="6" t="s">
        <v>619</v>
      </c>
      <c r="D176" s="6" t="s">
        <v>617</v>
      </c>
      <c r="E176" s="7"/>
      <c r="F176" s="7"/>
      <c r="G176" s="7"/>
      <c r="H176" s="7"/>
      <c r="I176" s="7"/>
      <c r="J176" s="7"/>
      <c r="K176">
        <v>1</v>
      </c>
    </row>
    <row r="177" spans="1:11" ht="12.75" x14ac:dyDescent="0.2">
      <c r="A177">
        <v>176</v>
      </c>
      <c r="B177" s="6" t="s">
        <v>621</v>
      </c>
      <c r="C177" s="6" t="s">
        <v>622</v>
      </c>
      <c r="D177" s="6" t="s">
        <v>620</v>
      </c>
      <c r="E177" s="7"/>
      <c r="F177" s="7"/>
      <c r="G177" s="7"/>
      <c r="H177" s="7"/>
      <c r="I177" s="7"/>
      <c r="J177" s="7"/>
      <c r="K177">
        <v>1</v>
      </c>
    </row>
    <row r="178" spans="1:11" ht="12.75" x14ac:dyDescent="0.2">
      <c r="A178">
        <v>177</v>
      </c>
      <c r="B178" s="6" t="s">
        <v>624</v>
      </c>
      <c r="C178" s="6" t="s">
        <v>625</v>
      </c>
      <c r="D178" s="6" t="s">
        <v>623</v>
      </c>
      <c r="E178" s="7"/>
      <c r="F178" s="7"/>
      <c r="G178" s="7"/>
      <c r="H178" s="7"/>
      <c r="I178" s="7"/>
      <c r="J178" s="7"/>
      <c r="K178">
        <v>1</v>
      </c>
    </row>
    <row r="179" spans="1:11" ht="12.75" x14ac:dyDescent="0.2">
      <c r="A179">
        <v>178</v>
      </c>
      <c r="B179" s="6" t="s">
        <v>627</v>
      </c>
      <c r="C179" s="6" t="s">
        <v>628</v>
      </c>
      <c r="D179" s="6" t="s">
        <v>626</v>
      </c>
      <c r="E179" s="7"/>
      <c r="F179" s="7"/>
      <c r="G179" s="7"/>
      <c r="H179" s="7"/>
      <c r="I179" s="7"/>
      <c r="J179" s="7"/>
      <c r="K179">
        <v>1</v>
      </c>
    </row>
    <row r="180" spans="1:11" ht="12.75" x14ac:dyDescent="0.2">
      <c r="A180">
        <v>179</v>
      </c>
      <c r="B180" s="6" t="s">
        <v>630</v>
      </c>
      <c r="C180" s="6" t="s">
        <v>631</v>
      </c>
      <c r="D180" s="6" t="s">
        <v>629</v>
      </c>
      <c r="E180" s="7"/>
      <c r="F180" s="7"/>
      <c r="G180" s="7"/>
      <c r="H180" s="7"/>
      <c r="I180" s="7"/>
      <c r="J180" s="7"/>
      <c r="K180">
        <v>1</v>
      </c>
    </row>
    <row r="181" spans="1:11" ht="12.75" x14ac:dyDescent="0.2">
      <c r="A181">
        <v>180</v>
      </c>
      <c r="B181" s="6" t="s">
        <v>633</v>
      </c>
      <c r="C181" s="6" t="s">
        <v>634</v>
      </c>
      <c r="D181" s="6" t="s">
        <v>632</v>
      </c>
      <c r="E181" s="7"/>
      <c r="F181" s="7"/>
      <c r="G181" s="7"/>
      <c r="H181" s="7"/>
      <c r="I181" s="7"/>
      <c r="J181" s="7"/>
      <c r="K181">
        <v>1</v>
      </c>
    </row>
    <row r="182" spans="1:11" ht="12.75" x14ac:dyDescent="0.2">
      <c r="A182">
        <v>181</v>
      </c>
      <c r="B182" s="6" t="s">
        <v>636</v>
      </c>
      <c r="C182" s="6" t="s">
        <v>637</v>
      </c>
      <c r="D182" s="6" t="s">
        <v>635</v>
      </c>
      <c r="E182" s="7"/>
      <c r="F182" s="7"/>
      <c r="G182" s="7"/>
      <c r="H182" s="7"/>
      <c r="I182" s="7"/>
      <c r="J182" s="7"/>
      <c r="K182">
        <v>1</v>
      </c>
    </row>
    <row r="183" spans="1:11" ht="12.75" x14ac:dyDescent="0.2">
      <c r="A183">
        <v>182</v>
      </c>
      <c r="B183" s="6" t="s">
        <v>639</v>
      </c>
      <c r="C183" s="6" t="s">
        <v>640</v>
      </c>
      <c r="D183" s="6" t="s">
        <v>638</v>
      </c>
      <c r="E183" s="7"/>
      <c r="F183" s="7"/>
      <c r="G183" s="7"/>
      <c r="H183" s="7"/>
      <c r="I183" s="7"/>
      <c r="J183" s="7"/>
      <c r="K183">
        <v>1</v>
      </c>
    </row>
    <row r="184" spans="1:11" ht="12.75" x14ac:dyDescent="0.2">
      <c r="A184">
        <v>183</v>
      </c>
      <c r="B184" s="6" t="s">
        <v>642</v>
      </c>
      <c r="C184" s="6" t="s">
        <v>643</v>
      </c>
      <c r="D184" s="6" t="s">
        <v>641</v>
      </c>
      <c r="E184" s="8" t="str">
        <f>HYPERLINK("https://twitter.com/FonzoBlunt","@FonzoBlunt")</f>
        <v>@FonzoBlunt</v>
      </c>
      <c r="F184" s="8" t="str">
        <f>HYPERLINK("http://instagram.com/fonzoblunt","@FonzoBlunt")</f>
        <v>@FonzoBlunt</v>
      </c>
      <c r="G184" s="6" t="s">
        <v>645</v>
      </c>
      <c r="H184" s="6" t="s">
        <v>644</v>
      </c>
      <c r="I184" s="6" t="s">
        <v>646</v>
      </c>
      <c r="J184" s="6" t="s">
        <v>647</v>
      </c>
      <c r="K184">
        <v>1</v>
      </c>
    </row>
    <row r="185" spans="1:11" ht="12.75" x14ac:dyDescent="0.2">
      <c r="A185">
        <v>184</v>
      </c>
      <c r="B185" s="6" t="s">
        <v>649</v>
      </c>
      <c r="C185" s="6" t="s">
        <v>650</v>
      </c>
      <c r="D185" s="6" t="s">
        <v>648</v>
      </c>
      <c r="E185" s="7"/>
      <c r="F185" s="7"/>
      <c r="G185" s="7"/>
      <c r="H185" s="7"/>
      <c r="I185" s="7"/>
      <c r="J185" s="7"/>
      <c r="K185">
        <v>1</v>
      </c>
    </row>
    <row r="186" spans="1:11" ht="12.75" x14ac:dyDescent="0.2">
      <c r="A186">
        <v>185</v>
      </c>
      <c r="B186" s="6" t="s">
        <v>652</v>
      </c>
      <c r="C186" s="6" t="s">
        <v>653</v>
      </c>
      <c r="D186" s="6" t="s">
        <v>651</v>
      </c>
      <c r="E186" s="7"/>
      <c r="F186" s="7"/>
      <c r="G186" s="7"/>
      <c r="H186" s="7"/>
      <c r="I186" s="7"/>
      <c r="J186" s="7"/>
      <c r="K186">
        <v>1</v>
      </c>
    </row>
    <row r="187" spans="1:11" ht="12.75" x14ac:dyDescent="0.2">
      <c r="A187">
        <v>186</v>
      </c>
      <c r="B187" s="6" t="s">
        <v>655</v>
      </c>
      <c r="C187" s="6" t="s">
        <v>656</v>
      </c>
      <c r="D187" s="6" t="s">
        <v>654</v>
      </c>
      <c r="E187" s="7"/>
      <c r="F187" s="7"/>
      <c r="G187" s="7"/>
      <c r="H187" s="7"/>
      <c r="I187" s="7"/>
      <c r="J187" s="7"/>
      <c r="K187">
        <v>1</v>
      </c>
    </row>
    <row r="188" spans="1:11" ht="12.75" x14ac:dyDescent="0.2">
      <c r="A188">
        <v>187</v>
      </c>
      <c r="B188" s="6" t="s">
        <v>658</v>
      </c>
      <c r="C188" s="6" t="s">
        <v>659</v>
      </c>
      <c r="D188" s="6" t="s">
        <v>657</v>
      </c>
      <c r="E188" s="7"/>
      <c r="F188" s="7"/>
      <c r="G188" s="7"/>
      <c r="H188" s="7"/>
      <c r="I188" s="7"/>
      <c r="J188" s="7"/>
      <c r="K188">
        <v>1</v>
      </c>
    </row>
    <row r="189" spans="1:11" ht="12.75" x14ac:dyDescent="0.2">
      <c r="A189">
        <v>188</v>
      </c>
      <c r="B189" s="6" t="s">
        <v>661</v>
      </c>
      <c r="C189" s="6" t="s">
        <v>662</v>
      </c>
      <c r="D189" s="6" t="s">
        <v>660</v>
      </c>
      <c r="E189" s="7"/>
      <c r="F189" s="7"/>
      <c r="G189" s="7"/>
      <c r="H189" s="7"/>
      <c r="I189" s="7"/>
      <c r="J189" s="7"/>
      <c r="K189">
        <v>1</v>
      </c>
    </row>
    <row r="190" spans="1:11" ht="12.75" x14ac:dyDescent="0.2">
      <c r="A190">
        <v>189</v>
      </c>
      <c r="B190" s="6" t="s">
        <v>664</v>
      </c>
      <c r="C190" s="7"/>
      <c r="D190" s="6" t="s">
        <v>663</v>
      </c>
      <c r="E190" s="7"/>
      <c r="F190" s="7"/>
      <c r="G190" s="7"/>
      <c r="H190" s="7"/>
      <c r="I190" s="7"/>
      <c r="J190" s="7"/>
      <c r="K190">
        <v>1</v>
      </c>
    </row>
    <row r="191" spans="1:11" ht="12.75" x14ac:dyDescent="0.2">
      <c r="A191">
        <v>190</v>
      </c>
      <c r="B191" s="6" t="s">
        <v>666</v>
      </c>
      <c r="C191" s="6" t="s">
        <v>667</v>
      </c>
      <c r="D191" s="6" t="s">
        <v>665</v>
      </c>
      <c r="E191" s="8" t="str">
        <f>HYPERLINK("https://twitter.com/KimDultz","@KimDultz")</f>
        <v>@KimDultz</v>
      </c>
      <c r="F191" s="8" t="str">
        <f>HYPERLINK("http://instagram.com/kimdultz","@KimDultz")</f>
        <v>@KimDultz</v>
      </c>
      <c r="G191" s="6" t="s">
        <v>669</v>
      </c>
      <c r="H191" s="6" t="s">
        <v>668</v>
      </c>
      <c r="I191" s="6" t="s">
        <v>670</v>
      </c>
      <c r="J191" s="7"/>
      <c r="K191">
        <v>1</v>
      </c>
    </row>
    <row r="192" spans="1:11" ht="12.75" x14ac:dyDescent="0.2">
      <c r="A192">
        <v>191</v>
      </c>
      <c r="B192" s="6" t="s">
        <v>672</v>
      </c>
      <c r="C192" s="6" t="s">
        <v>673</v>
      </c>
      <c r="D192" s="6" t="s">
        <v>671</v>
      </c>
      <c r="E192" s="7"/>
      <c r="F192" s="7"/>
      <c r="G192" s="7"/>
      <c r="H192" s="7"/>
      <c r="I192" s="7"/>
      <c r="J192" s="7"/>
      <c r="K192">
        <v>1</v>
      </c>
    </row>
    <row r="193" spans="1:11" ht="12.75" x14ac:dyDescent="0.2">
      <c r="A193">
        <v>192</v>
      </c>
      <c r="B193" s="6" t="s">
        <v>675</v>
      </c>
      <c r="C193" s="6" t="s">
        <v>676</v>
      </c>
      <c r="D193" s="6" t="s">
        <v>674</v>
      </c>
      <c r="E193" s="7"/>
      <c r="F193" s="7"/>
      <c r="G193" s="7"/>
      <c r="H193" s="7"/>
      <c r="I193" s="7"/>
      <c r="J193" s="7"/>
      <c r="K193">
        <v>1</v>
      </c>
    </row>
    <row r="194" spans="1:11" ht="12.75" x14ac:dyDescent="0.2">
      <c r="A194">
        <v>193</v>
      </c>
      <c r="B194" s="6" t="s">
        <v>678</v>
      </c>
      <c r="C194" s="6" t="s">
        <v>679</v>
      </c>
      <c r="D194" s="6" t="s">
        <v>677</v>
      </c>
      <c r="E194" s="8" t="str">
        <f>HYPERLINK("https://twitter.com/Fuckasaurus_RDS","@fuckasaurus_rds")</f>
        <v>@fuckasaurus_rds</v>
      </c>
      <c r="F194" s="8" t="str">
        <f>HYPERLINK("http://instagram.com/fuckasaurus_wolfknives","@fuckasaurus_wolfknives")</f>
        <v>@fuckasaurus_wolfknives</v>
      </c>
      <c r="G194" s="7"/>
      <c r="H194" s="6" t="s">
        <v>680</v>
      </c>
      <c r="I194" s="6" t="s">
        <v>681</v>
      </c>
      <c r="J194" s="7"/>
      <c r="K194">
        <v>1</v>
      </c>
    </row>
    <row r="195" spans="1:11" ht="12.75" x14ac:dyDescent="0.2">
      <c r="A195">
        <v>194</v>
      </c>
      <c r="B195" s="6" t="s">
        <v>683</v>
      </c>
      <c r="C195" s="6" t="s">
        <v>684</v>
      </c>
      <c r="D195" s="6" t="s">
        <v>682</v>
      </c>
      <c r="E195" s="8" t="str">
        <f>HYPERLINK("https://twitter.com/dcucowboy","@dcucowboy")</f>
        <v>@dcucowboy</v>
      </c>
      <c r="F195" s="8" t="str">
        <f>HYPERLINK("http://instagram.com/evanr88","@EVANR88")</f>
        <v>@EVANR88</v>
      </c>
      <c r="G195" s="7"/>
      <c r="H195" s="6" t="s">
        <v>685</v>
      </c>
      <c r="I195" s="7"/>
      <c r="J195" s="7"/>
      <c r="K195">
        <v>1</v>
      </c>
    </row>
    <row r="196" spans="1:11" ht="12.75" x14ac:dyDescent="0.2">
      <c r="A196">
        <v>195</v>
      </c>
      <c r="B196" s="6" t="s">
        <v>687</v>
      </c>
      <c r="C196" s="6" t="s">
        <v>688</v>
      </c>
      <c r="D196" s="6" t="s">
        <v>686</v>
      </c>
      <c r="E196" s="7"/>
      <c r="F196" s="7"/>
      <c r="G196" s="7"/>
      <c r="H196" s="7"/>
      <c r="I196" s="7"/>
      <c r="J196" s="7"/>
      <c r="K196">
        <v>1</v>
      </c>
    </row>
    <row r="197" spans="1:11" ht="12.75" x14ac:dyDescent="0.2">
      <c r="A197">
        <v>196</v>
      </c>
      <c r="B197" s="6" t="s">
        <v>690</v>
      </c>
      <c r="C197" s="6" t="s">
        <v>691</v>
      </c>
      <c r="D197" s="6" t="s">
        <v>689</v>
      </c>
      <c r="E197" s="7"/>
      <c r="F197" s="7"/>
      <c r="G197" s="7"/>
      <c r="H197" s="7"/>
      <c r="I197" s="7"/>
      <c r="J197" s="7"/>
      <c r="K197">
        <v>1</v>
      </c>
    </row>
    <row r="198" spans="1:11" ht="12.75" x14ac:dyDescent="0.2">
      <c r="A198">
        <v>197</v>
      </c>
      <c r="B198" s="6" t="s">
        <v>693</v>
      </c>
      <c r="C198" s="6" t="s">
        <v>694</v>
      </c>
      <c r="D198" s="6" t="s">
        <v>692</v>
      </c>
      <c r="E198" s="7"/>
      <c r="F198" s="7"/>
      <c r="G198" s="7"/>
      <c r="H198" s="7"/>
      <c r="I198" s="7"/>
      <c r="J198" s="7"/>
      <c r="K198">
        <v>1</v>
      </c>
    </row>
    <row r="199" spans="1:11" ht="12.75" x14ac:dyDescent="0.2">
      <c r="A199">
        <v>198</v>
      </c>
      <c r="B199" s="6" t="s">
        <v>696</v>
      </c>
      <c r="C199" s="6" t="s">
        <v>697</v>
      </c>
      <c r="D199" s="6" t="s">
        <v>695</v>
      </c>
      <c r="E199" s="7"/>
      <c r="F199" s="7"/>
      <c r="G199" s="7"/>
      <c r="H199" s="7"/>
      <c r="I199" s="7"/>
      <c r="J199" s="7"/>
      <c r="K199">
        <v>1</v>
      </c>
    </row>
    <row r="200" spans="1:11" ht="12.75" x14ac:dyDescent="0.2">
      <c r="A200">
        <v>199</v>
      </c>
      <c r="B200" s="6" t="s">
        <v>699</v>
      </c>
      <c r="C200" s="6" t="s">
        <v>700</v>
      </c>
      <c r="D200" s="6" t="s">
        <v>698</v>
      </c>
      <c r="E200" s="7"/>
      <c r="F200" s="7"/>
      <c r="G200" s="7"/>
      <c r="H200" s="7"/>
      <c r="I200" s="7"/>
      <c r="J200" s="7"/>
      <c r="K200">
        <v>1</v>
      </c>
    </row>
    <row r="201" spans="1:11" ht="12.75" x14ac:dyDescent="0.2">
      <c r="A201">
        <v>200</v>
      </c>
      <c r="B201" s="6" t="s">
        <v>702</v>
      </c>
      <c r="C201" s="6" t="s">
        <v>703</v>
      </c>
      <c r="D201" s="6" t="s">
        <v>701</v>
      </c>
      <c r="E201" s="7"/>
      <c r="F201" s="7"/>
      <c r="G201" s="7"/>
      <c r="H201" s="7"/>
      <c r="I201" s="7"/>
      <c r="J201" s="7"/>
      <c r="K201">
        <v>1</v>
      </c>
    </row>
    <row r="202" spans="1:11" ht="12.75" x14ac:dyDescent="0.2">
      <c r="A202">
        <v>201</v>
      </c>
      <c r="B202" s="6" t="s">
        <v>705</v>
      </c>
      <c r="C202" s="6" t="s">
        <v>706</v>
      </c>
      <c r="D202" s="6" t="s">
        <v>704</v>
      </c>
      <c r="E202" s="7"/>
      <c r="F202" s="7"/>
      <c r="G202" s="7"/>
      <c r="H202" s="7"/>
      <c r="I202" s="7"/>
      <c r="J202" s="7"/>
      <c r="K202">
        <v>1</v>
      </c>
    </row>
    <row r="203" spans="1:11" ht="12.75" x14ac:dyDescent="0.2">
      <c r="A203">
        <v>202</v>
      </c>
      <c r="B203" s="6" t="s">
        <v>708</v>
      </c>
      <c r="C203" s="6" t="s">
        <v>709</v>
      </c>
      <c r="D203" s="6" t="s">
        <v>707</v>
      </c>
      <c r="E203" s="7"/>
      <c r="F203" s="7"/>
      <c r="G203" s="7"/>
      <c r="H203" s="7"/>
      <c r="I203" s="7"/>
      <c r="J203" s="7"/>
      <c r="K203">
        <v>1</v>
      </c>
    </row>
    <row r="204" spans="1:11" ht="12.75" x14ac:dyDescent="0.2">
      <c r="A204">
        <v>203</v>
      </c>
      <c r="B204" s="6" t="s">
        <v>711</v>
      </c>
      <c r="C204" s="6" t="s">
        <v>712</v>
      </c>
      <c r="D204" s="6" t="s">
        <v>710</v>
      </c>
      <c r="E204" s="7"/>
      <c r="F204" s="7"/>
      <c r="G204" s="7"/>
      <c r="H204" s="7"/>
      <c r="I204" s="7"/>
      <c r="J204" s="7"/>
      <c r="K204">
        <v>1</v>
      </c>
    </row>
    <row r="205" spans="1:11" ht="12.75" x14ac:dyDescent="0.2">
      <c r="A205">
        <v>204</v>
      </c>
      <c r="B205" s="6" t="s">
        <v>714</v>
      </c>
      <c r="C205" s="6" t="s">
        <v>715</v>
      </c>
      <c r="D205" s="6" t="s">
        <v>713</v>
      </c>
      <c r="E205" s="7"/>
      <c r="F205" s="7"/>
      <c r="G205" s="7"/>
      <c r="H205" s="7"/>
      <c r="I205" s="7"/>
      <c r="J205" s="7"/>
      <c r="K205">
        <v>1</v>
      </c>
    </row>
    <row r="206" spans="1:11" ht="12.75" x14ac:dyDescent="0.2">
      <c r="A206">
        <v>205</v>
      </c>
      <c r="B206" s="6" t="s">
        <v>717</v>
      </c>
      <c r="C206" s="6" t="s">
        <v>718</v>
      </c>
      <c r="D206" s="6" t="s">
        <v>716</v>
      </c>
      <c r="E206" s="7"/>
      <c r="F206" s="7"/>
      <c r="G206" s="7"/>
      <c r="H206" s="7"/>
      <c r="I206" s="7"/>
      <c r="J206" s="7"/>
      <c r="K206">
        <v>1</v>
      </c>
    </row>
    <row r="207" spans="1:11" ht="12.75" x14ac:dyDescent="0.2">
      <c r="A207">
        <v>206</v>
      </c>
      <c r="B207" s="6" t="s">
        <v>720</v>
      </c>
      <c r="C207" s="6" t="s">
        <v>721</v>
      </c>
      <c r="D207" s="6" t="s">
        <v>719</v>
      </c>
      <c r="E207" s="7"/>
      <c r="F207" s="7"/>
      <c r="G207" s="7"/>
      <c r="H207" s="7"/>
      <c r="I207" s="7"/>
      <c r="J207" s="7"/>
      <c r="K207">
        <v>1</v>
      </c>
    </row>
    <row r="208" spans="1:11" ht="12.75" x14ac:dyDescent="0.2">
      <c r="A208">
        <v>207</v>
      </c>
      <c r="B208" s="6" t="s">
        <v>723</v>
      </c>
      <c r="C208" s="6" t="s">
        <v>724</v>
      </c>
      <c r="D208" s="6" t="s">
        <v>722</v>
      </c>
      <c r="E208" s="7"/>
      <c r="F208" s="7"/>
      <c r="G208" s="7"/>
      <c r="H208" s="7"/>
      <c r="I208" s="7"/>
      <c r="J208" s="7"/>
      <c r="K208">
        <v>1</v>
      </c>
    </row>
    <row r="209" spans="1:11" ht="12.75" x14ac:dyDescent="0.2">
      <c r="A209">
        <v>208</v>
      </c>
      <c r="B209" s="6" t="s">
        <v>726</v>
      </c>
      <c r="C209" s="6" t="s">
        <v>727</v>
      </c>
      <c r="D209" s="6" t="s">
        <v>725</v>
      </c>
      <c r="E209" s="7"/>
      <c r="F209" s="7"/>
      <c r="G209" s="7"/>
      <c r="H209" s="7"/>
      <c r="I209" s="7"/>
      <c r="J209" s="7"/>
      <c r="K209">
        <v>1</v>
      </c>
    </row>
    <row r="210" spans="1:11" ht="12.75" x14ac:dyDescent="0.2">
      <c r="A210">
        <v>209</v>
      </c>
      <c r="B210" s="6" t="s">
        <v>729</v>
      </c>
      <c r="C210" s="6" t="s">
        <v>730</v>
      </c>
      <c r="D210" s="6" t="s">
        <v>728</v>
      </c>
      <c r="E210" s="7"/>
      <c r="F210" s="7"/>
      <c r="G210" s="7"/>
      <c r="H210" s="7"/>
      <c r="I210" s="7"/>
      <c r="J210" s="7"/>
      <c r="K210">
        <v>1</v>
      </c>
    </row>
    <row r="211" spans="1:11" ht="12.75" x14ac:dyDescent="0.2">
      <c r="A211">
        <v>210</v>
      </c>
      <c r="B211" s="6" t="s">
        <v>732</v>
      </c>
      <c r="C211" s="6" t="s">
        <v>733</v>
      </c>
      <c r="D211" s="6" t="s">
        <v>731</v>
      </c>
      <c r="E211" s="8" t="str">
        <f>HYPERLINK("https://twitter.com/dardar70","@DarDar70")</f>
        <v>@DarDar70</v>
      </c>
      <c r="F211" s="8" t="str">
        <f>HYPERLINK("http://instagram.com/DarDar70","@DarDar70")</f>
        <v>@DarDar70</v>
      </c>
      <c r="G211" s="6" t="s">
        <v>735</v>
      </c>
      <c r="H211" s="6" t="s">
        <v>734</v>
      </c>
      <c r="I211" s="7"/>
      <c r="J211" s="7"/>
      <c r="K211">
        <v>1</v>
      </c>
    </row>
    <row r="212" spans="1:11" ht="12.75" x14ac:dyDescent="0.2">
      <c r="A212">
        <v>211</v>
      </c>
      <c r="B212" s="6" t="s">
        <v>737</v>
      </c>
      <c r="C212" s="6" t="s">
        <v>738</v>
      </c>
      <c r="D212" s="6" t="s">
        <v>736</v>
      </c>
      <c r="E212" s="7"/>
      <c r="F212" s="7"/>
      <c r="G212" s="7"/>
      <c r="H212" s="7"/>
      <c r="I212" s="7"/>
      <c r="J212" s="7"/>
      <c r="K212">
        <v>1</v>
      </c>
    </row>
    <row r="213" spans="1:11" ht="12.75" x14ac:dyDescent="0.2">
      <c r="A213">
        <v>212</v>
      </c>
      <c r="B213" s="6" t="s">
        <v>740</v>
      </c>
      <c r="C213" s="6" t="s">
        <v>741</v>
      </c>
      <c r="D213" s="6" t="s">
        <v>739</v>
      </c>
      <c r="E213" s="7"/>
      <c r="F213" s="7"/>
      <c r="G213" s="7"/>
      <c r="H213" s="7"/>
      <c r="I213" s="7"/>
      <c r="J213" s="7"/>
      <c r="K213">
        <v>1</v>
      </c>
    </row>
    <row r="214" spans="1:11" ht="12.75" x14ac:dyDescent="0.2">
      <c r="A214">
        <v>213</v>
      </c>
      <c r="B214" s="6" t="s">
        <v>743</v>
      </c>
      <c r="C214" s="6" t="s">
        <v>744</v>
      </c>
      <c r="D214" s="6" t="s">
        <v>742</v>
      </c>
      <c r="E214" s="7"/>
      <c r="F214" s="7"/>
      <c r="G214" s="7"/>
      <c r="H214" s="7"/>
      <c r="I214" s="7"/>
      <c r="J214" s="7"/>
      <c r="K214">
        <v>1</v>
      </c>
    </row>
    <row r="215" spans="1:11" ht="12.75" x14ac:dyDescent="0.2">
      <c r="A215">
        <v>214</v>
      </c>
      <c r="B215" s="6" t="s">
        <v>746</v>
      </c>
      <c r="C215" s="6" t="s">
        <v>747</v>
      </c>
      <c r="D215" s="6" t="s">
        <v>745</v>
      </c>
      <c r="E215" s="7"/>
      <c r="F215" s="7"/>
      <c r="G215" s="7"/>
      <c r="H215" s="7"/>
      <c r="I215" s="7"/>
      <c r="J215" s="7"/>
      <c r="K215">
        <v>1</v>
      </c>
    </row>
    <row r="216" spans="1:11" ht="12.75" x14ac:dyDescent="0.2">
      <c r="A216">
        <v>215</v>
      </c>
      <c r="B216" s="6" t="s">
        <v>749</v>
      </c>
      <c r="C216" s="6" t="s">
        <v>750</v>
      </c>
      <c r="D216" s="6" t="s">
        <v>748</v>
      </c>
      <c r="E216" s="7"/>
      <c r="F216" s="7"/>
      <c r="G216" s="7"/>
      <c r="H216" s="7"/>
      <c r="I216" s="7"/>
      <c r="J216" s="7"/>
      <c r="K216">
        <v>1</v>
      </c>
    </row>
    <row r="217" spans="1:11" ht="12.75" x14ac:dyDescent="0.2">
      <c r="A217">
        <v>216</v>
      </c>
      <c r="B217" s="6" t="s">
        <v>752</v>
      </c>
      <c r="C217" s="6" t="s">
        <v>753</v>
      </c>
      <c r="D217" s="6" t="s">
        <v>751</v>
      </c>
      <c r="E217" s="8" t="str">
        <f>HYPERLINK("https://twitter.com/BadChad1968","@BadChad1968")</f>
        <v>@BadChad1968</v>
      </c>
      <c r="F217" s="8" t="str">
        <f>HYPERLINK("http://instagram.com/goatthroatx","@goatthroatx")</f>
        <v>@goatthroatx</v>
      </c>
      <c r="G217" s="7"/>
      <c r="H217" s="6" t="s">
        <v>754</v>
      </c>
      <c r="I217" s="7"/>
      <c r="J217" s="7"/>
      <c r="K217">
        <v>1</v>
      </c>
    </row>
    <row r="218" spans="1:11" ht="12.75" x14ac:dyDescent="0.2">
      <c r="A218">
        <v>217</v>
      </c>
      <c r="B218" s="6" t="s">
        <v>756</v>
      </c>
      <c r="C218" s="6" t="s">
        <v>757</v>
      </c>
      <c r="D218" s="6" t="s">
        <v>755</v>
      </c>
      <c r="E218" s="8" t="str">
        <f>HYPERLINK("https://twitter.com/mmmluckylager","@mmmluckylager")</f>
        <v>@mmmluckylager</v>
      </c>
      <c r="F218" s="7"/>
      <c r="G218" s="7"/>
      <c r="H218" s="6" t="s">
        <v>758</v>
      </c>
      <c r="I218" s="7"/>
      <c r="J218" s="7"/>
      <c r="K218">
        <v>1</v>
      </c>
    </row>
    <row r="219" spans="1:11" ht="12.75" x14ac:dyDescent="0.2">
      <c r="A219">
        <v>218</v>
      </c>
      <c r="B219" s="6" t="s">
        <v>760</v>
      </c>
      <c r="C219" s="6" t="s">
        <v>761</v>
      </c>
      <c r="D219" s="6" t="s">
        <v>759</v>
      </c>
      <c r="E219" s="7"/>
      <c r="F219" s="7"/>
      <c r="G219" s="7"/>
      <c r="H219" s="7"/>
      <c r="I219" s="7"/>
      <c r="J219" s="7"/>
      <c r="K219">
        <v>1</v>
      </c>
    </row>
    <row r="220" spans="1:11" ht="12.75" x14ac:dyDescent="0.2">
      <c r="A220">
        <v>219</v>
      </c>
      <c r="B220" s="6" t="s">
        <v>763</v>
      </c>
      <c r="C220" s="6" t="s">
        <v>764</v>
      </c>
      <c r="D220" s="6" t="s">
        <v>762</v>
      </c>
      <c r="E220" s="7"/>
      <c r="F220" s="7"/>
      <c r="G220" s="7"/>
      <c r="H220" s="7"/>
      <c r="I220" s="7"/>
      <c r="J220" s="7"/>
      <c r="K220">
        <v>1</v>
      </c>
    </row>
    <row r="221" spans="1:11" ht="12.75" x14ac:dyDescent="0.2">
      <c r="A221">
        <v>220</v>
      </c>
      <c r="B221" s="6" t="s">
        <v>766</v>
      </c>
      <c r="C221" s="6" t="s">
        <v>767</v>
      </c>
      <c r="D221" s="6" t="s">
        <v>765</v>
      </c>
      <c r="E221" s="7"/>
      <c r="F221" s="7"/>
      <c r="G221" s="7"/>
      <c r="H221" s="7"/>
      <c r="I221" s="7"/>
      <c r="J221" s="7"/>
      <c r="K221">
        <v>1</v>
      </c>
    </row>
    <row r="222" spans="1:11" ht="12.75" x14ac:dyDescent="0.2">
      <c r="A222">
        <v>221</v>
      </c>
      <c r="B222" s="6" t="s">
        <v>769</v>
      </c>
      <c r="C222" s="6" t="s">
        <v>770</v>
      </c>
      <c r="D222" s="6" t="s">
        <v>768</v>
      </c>
      <c r="E222" s="7"/>
      <c r="F222" s="7"/>
      <c r="G222" s="7"/>
      <c r="H222" s="7"/>
      <c r="I222" s="7"/>
      <c r="J222" s="7"/>
      <c r="K222">
        <v>1</v>
      </c>
    </row>
    <row r="223" spans="1:11" ht="12.75" x14ac:dyDescent="0.2">
      <c r="A223">
        <v>222</v>
      </c>
      <c r="B223" s="6" t="s">
        <v>772</v>
      </c>
      <c r="C223" s="6" t="s">
        <v>773</v>
      </c>
      <c r="D223" s="6" t="s">
        <v>771</v>
      </c>
      <c r="E223" s="8" t="str">
        <f>HYPERLINK("https://twitter.com/mariocc_rds","@mariocc_rds")</f>
        <v>@mariocc_rds</v>
      </c>
      <c r="F223" s="8" t="str">
        <f>HYPERLINK("http://instagram.com/mar1o_rds","@mar1o_rds")</f>
        <v>@mar1o_rds</v>
      </c>
      <c r="G223" s="7"/>
      <c r="H223" s="6" t="s">
        <v>774</v>
      </c>
      <c r="I223" s="6" t="s">
        <v>775</v>
      </c>
      <c r="J223" s="7"/>
      <c r="K223">
        <v>1</v>
      </c>
    </row>
    <row r="224" spans="1:11" ht="12.75" x14ac:dyDescent="0.2">
      <c r="A224">
        <v>223</v>
      </c>
      <c r="B224" s="6" t="s">
        <v>777</v>
      </c>
      <c r="C224" s="6" t="s">
        <v>778</v>
      </c>
      <c r="D224" s="6" t="s">
        <v>776</v>
      </c>
      <c r="E224" s="7"/>
      <c r="F224" s="7"/>
      <c r="G224" s="7"/>
      <c r="H224" s="7"/>
      <c r="I224" s="7"/>
      <c r="J224" s="7"/>
      <c r="K224">
        <v>1</v>
      </c>
    </row>
    <row r="225" spans="1:11" ht="12.75" x14ac:dyDescent="0.2">
      <c r="A225">
        <v>224</v>
      </c>
      <c r="B225" s="6" t="s">
        <v>780</v>
      </c>
      <c r="C225" s="6" t="s">
        <v>781</v>
      </c>
      <c r="D225" s="6" t="s">
        <v>779</v>
      </c>
      <c r="E225" s="7"/>
      <c r="F225" s="7"/>
      <c r="G225" s="7"/>
      <c r="H225" s="7"/>
      <c r="I225" s="7"/>
      <c r="J225" s="7"/>
      <c r="K225">
        <v>1</v>
      </c>
    </row>
    <row r="226" spans="1:11" ht="12.75" x14ac:dyDescent="0.2">
      <c r="A226">
        <v>225</v>
      </c>
      <c r="B226" s="6" t="s">
        <v>783</v>
      </c>
      <c r="C226" s="6" t="s">
        <v>784</v>
      </c>
      <c r="D226" s="6" t="s">
        <v>782</v>
      </c>
      <c r="E226" s="8" t="str">
        <f>HYPERLINK("https://twitter.com/grumpiehmt","@Grumpiehmt")</f>
        <v>@Grumpiehmt</v>
      </c>
      <c r="F226" s="8" t="str">
        <f>HYPERLINK("http://instagram.com/grumpiehmt","@Grumpiehmt")</f>
        <v>@Grumpiehmt</v>
      </c>
      <c r="G226" s="6" t="s">
        <v>786</v>
      </c>
      <c r="H226" s="6" t="s">
        <v>785</v>
      </c>
      <c r="I226" s="7"/>
      <c r="J226" s="7"/>
      <c r="K226">
        <v>1</v>
      </c>
    </row>
    <row r="227" spans="1:11" ht="12.75" x14ac:dyDescent="0.2">
      <c r="A227">
        <v>226</v>
      </c>
      <c r="B227" s="6" t="s">
        <v>788</v>
      </c>
      <c r="C227" s="6" t="s">
        <v>789</v>
      </c>
      <c r="D227" s="6" t="s">
        <v>787</v>
      </c>
      <c r="E227" s="7"/>
      <c r="F227" s="7"/>
      <c r="G227" s="7"/>
      <c r="H227" s="7"/>
      <c r="I227" s="7"/>
      <c r="J227" s="7"/>
      <c r="K227">
        <v>1</v>
      </c>
    </row>
    <row r="228" spans="1:11" ht="12.75" x14ac:dyDescent="0.2">
      <c r="A228">
        <v>227</v>
      </c>
      <c r="B228" s="6" t="s">
        <v>791</v>
      </c>
      <c r="C228" s="6" t="s">
        <v>792</v>
      </c>
      <c r="D228" s="6" t="s">
        <v>790</v>
      </c>
      <c r="E228" s="7"/>
      <c r="F228" s="7"/>
      <c r="G228" s="7"/>
      <c r="H228" s="7"/>
      <c r="I228" s="7"/>
      <c r="J228" s="7"/>
      <c r="K228">
        <v>1</v>
      </c>
    </row>
    <row r="229" spans="1:11" ht="12.75" x14ac:dyDescent="0.2">
      <c r="A229">
        <v>228</v>
      </c>
      <c r="B229" s="6" t="s">
        <v>794</v>
      </c>
      <c r="C229" s="6" t="s">
        <v>795</v>
      </c>
      <c r="D229" s="6" t="s">
        <v>793</v>
      </c>
      <c r="E229" s="7"/>
      <c r="F229" s="7"/>
      <c r="G229" s="7"/>
      <c r="H229" s="7"/>
      <c r="I229" s="7"/>
      <c r="J229" s="7"/>
      <c r="K229">
        <v>1</v>
      </c>
    </row>
    <row r="230" spans="1:11" ht="12.75" x14ac:dyDescent="0.2">
      <c r="A230">
        <v>229</v>
      </c>
      <c r="B230" s="6" t="s">
        <v>797</v>
      </c>
      <c r="C230" s="6" t="s">
        <v>798</v>
      </c>
      <c r="D230" s="6" t="s">
        <v>796</v>
      </c>
      <c r="E230" s="7"/>
      <c r="F230" s="7"/>
      <c r="G230" s="7"/>
      <c r="H230" s="7"/>
      <c r="I230" s="7"/>
      <c r="J230" s="7"/>
      <c r="K230">
        <v>1</v>
      </c>
    </row>
    <row r="231" spans="1:11" ht="12.75" x14ac:dyDescent="0.2">
      <c r="A231">
        <v>230</v>
      </c>
      <c r="B231" s="6" t="s">
        <v>800</v>
      </c>
      <c r="C231" s="6" t="s">
        <v>801</v>
      </c>
      <c r="D231" s="6" t="s">
        <v>799</v>
      </c>
      <c r="E231" s="7"/>
      <c r="F231" s="7"/>
      <c r="G231" s="7"/>
      <c r="H231" s="7"/>
      <c r="I231" s="7"/>
      <c r="J231" s="7"/>
      <c r="K231">
        <v>1</v>
      </c>
    </row>
    <row r="232" spans="1:11" ht="12.75" x14ac:dyDescent="0.2">
      <c r="A232">
        <v>231</v>
      </c>
      <c r="B232" s="6" t="s">
        <v>803</v>
      </c>
      <c r="C232" s="6" t="s">
        <v>804</v>
      </c>
      <c r="D232" s="6" t="s">
        <v>802</v>
      </c>
      <c r="E232" s="8" t="str">
        <f>HYPERLINK("https://twitter.com/ReynMuthaFucka/","@ReynMuthaFucka")</f>
        <v>@ReynMuthaFucka</v>
      </c>
      <c r="F232" s="8" t="str">
        <f>HYPERLINK("http://instagram.com/ReynMuthaFucka","@ReynMuthaFucka")</f>
        <v>@ReynMuthaFucka</v>
      </c>
      <c r="G232" s="7"/>
      <c r="H232" s="6" t="s">
        <v>805</v>
      </c>
      <c r="I232" s="6" t="s">
        <v>806</v>
      </c>
      <c r="J232" s="7"/>
      <c r="K232">
        <v>1</v>
      </c>
    </row>
    <row r="233" spans="1:11" ht="12.75" x14ac:dyDescent="0.2">
      <c r="A233">
        <v>232</v>
      </c>
      <c r="B233" s="6" t="s">
        <v>808</v>
      </c>
      <c r="C233" s="6" t="s">
        <v>809</v>
      </c>
      <c r="D233" s="6" t="s">
        <v>807</v>
      </c>
      <c r="E233" s="7"/>
      <c r="F233" s="7"/>
      <c r="G233" s="7"/>
      <c r="H233" s="7"/>
      <c r="I233" s="7"/>
      <c r="J233" s="7"/>
      <c r="K233">
        <v>1</v>
      </c>
    </row>
    <row r="234" spans="1:11" ht="12.75" x14ac:dyDescent="0.2">
      <c r="A234">
        <v>233</v>
      </c>
      <c r="B234" s="6" t="s">
        <v>811</v>
      </c>
      <c r="C234" s="6" t="s">
        <v>812</v>
      </c>
      <c r="D234" s="6" t="s">
        <v>810</v>
      </c>
      <c r="E234" s="8" t="str">
        <f>HYPERLINK("https://twitter.com/Harry_Poppins_","@Harry_Poppins_")</f>
        <v>@Harry_Poppins_</v>
      </c>
      <c r="F234" s="8" t="str">
        <f>HYPERLINK("http://instagram.com/Harry_Poppins_Wolfknifes","@Harry_Poppins_Wolfknifes")</f>
        <v>@Harry_Poppins_Wolfknifes</v>
      </c>
      <c r="G234" s="7"/>
      <c r="H234" s="6" t="s">
        <v>813</v>
      </c>
      <c r="I234" s="7"/>
      <c r="J234" s="7"/>
      <c r="K234">
        <v>1</v>
      </c>
    </row>
    <row r="235" spans="1:11" ht="12.75" x14ac:dyDescent="0.2">
      <c r="A235">
        <v>234</v>
      </c>
      <c r="B235" s="6" t="s">
        <v>815</v>
      </c>
      <c r="C235" s="6" t="s">
        <v>816</v>
      </c>
      <c r="D235" s="6" t="s">
        <v>814</v>
      </c>
      <c r="E235" s="7"/>
      <c r="F235" s="7"/>
      <c r="G235" s="7"/>
      <c r="H235" s="7"/>
      <c r="I235" s="7"/>
      <c r="J235" s="7"/>
      <c r="K235">
        <v>1</v>
      </c>
    </row>
    <row r="236" spans="1:11" ht="12.75" x14ac:dyDescent="0.2">
      <c r="A236">
        <v>235</v>
      </c>
      <c r="B236" s="6" t="s">
        <v>818</v>
      </c>
      <c r="C236" s="6" t="s">
        <v>819</v>
      </c>
      <c r="D236" s="6" t="s">
        <v>817</v>
      </c>
      <c r="E236" s="8" t="str">
        <f>HYPERLINK("https://twitter.com/bigalont","@bigalont")</f>
        <v>@bigalont</v>
      </c>
      <c r="F236" s="7"/>
      <c r="G236" s="7"/>
      <c r="H236" s="6" t="s">
        <v>820</v>
      </c>
      <c r="I236" s="7"/>
      <c r="J236" s="7"/>
      <c r="K236">
        <v>1</v>
      </c>
    </row>
    <row r="237" spans="1:11" ht="12.75" x14ac:dyDescent="0.2">
      <c r="A237">
        <v>236</v>
      </c>
      <c r="B237" s="6" t="s">
        <v>822</v>
      </c>
      <c r="C237" s="6" t="s">
        <v>823</v>
      </c>
      <c r="D237" s="6" t="s">
        <v>821</v>
      </c>
      <c r="E237" s="7"/>
      <c r="F237" s="7"/>
      <c r="G237" s="7"/>
      <c r="H237" s="7"/>
      <c r="I237" s="7"/>
      <c r="J237" s="7"/>
      <c r="K237">
        <v>1</v>
      </c>
    </row>
    <row r="238" spans="1:11" ht="12.75" x14ac:dyDescent="0.2">
      <c r="A238">
        <v>237</v>
      </c>
      <c r="B238" s="6" t="s">
        <v>825</v>
      </c>
      <c r="C238" s="6" t="s">
        <v>826</v>
      </c>
      <c r="D238" s="6" t="s">
        <v>824</v>
      </c>
      <c r="E238" s="8" t="str">
        <f>HYPERLINK("https://twitter.com/AlanLC1979","@AlanLC1979")</f>
        <v>@AlanLC1979</v>
      </c>
      <c r="F238" s="8" t="str">
        <f>HYPERLINK("http://instagram.com/AlanLC1979","@AlanLC1979")</f>
        <v>@AlanLC1979</v>
      </c>
      <c r="G238" s="7"/>
      <c r="H238" s="6" t="s">
        <v>827</v>
      </c>
      <c r="I238" s="7"/>
      <c r="J238" s="7"/>
      <c r="K238">
        <v>1</v>
      </c>
    </row>
    <row r="239" spans="1:11" ht="12.75" x14ac:dyDescent="0.2">
      <c r="A239">
        <v>238</v>
      </c>
      <c r="B239" s="6" t="s">
        <v>829</v>
      </c>
      <c r="C239" s="6" t="s">
        <v>830</v>
      </c>
      <c r="D239" s="6" t="s">
        <v>828</v>
      </c>
      <c r="E239" s="7"/>
      <c r="F239" s="7"/>
      <c r="G239" s="7"/>
      <c r="H239" s="7"/>
      <c r="I239" s="7"/>
      <c r="J239" s="7"/>
      <c r="K239">
        <v>1</v>
      </c>
    </row>
    <row r="240" spans="1:11" ht="12.75" x14ac:dyDescent="0.2">
      <c r="A240">
        <v>239</v>
      </c>
      <c r="B240" s="6" t="s">
        <v>832</v>
      </c>
      <c r="C240" s="6" t="s">
        <v>833</v>
      </c>
      <c r="D240" s="6" t="s">
        <v>831</v>
      </c>
      <c r="E240" s="8" t="str">
        <f>HYPERLINK("https://twitter.com/MandyRiese","@mandyriese")</f>
        <v>@mandyriese</v>
      </c>
      <c r="F240" s="8" t="str">
        <f>HYPERLINK("http://instagram.com/mandyriese","@mandyriese")</f>
        <v>@mandyriese</v>
      </c>
      <c r="G240" s="7"/>
      <c r="H240" s="6" t="s">
        <v>834</v>
      </c>
      <c r="I240" s="6" t="s">
        <v>835</v>
      </c>
      <c r="J240" s="7"/>
      <c r="K240">
        <v>1</v>
      </c>
    </row>
    <row r="241" spans="1:11" ht="12.75" x14ac:dyDescent="0.2">
      <c r="A241">
        <v>240</v>
      </c>
      <c r="B241" s="6" t="s">
        <v>837</v>
      </c>
      <c r="C241" s="6" t="s">
        <v>838</v>
      </c>
      <c r="D241" s="6" t="s">
        <v>836</v>
      </c>
      <c r="E241" s="7"/>
      <c r="F241" s="7"/>
      <c r="G241" s="7"/>
      <c r="H241" s="7"/>
      <c r="I241" s="7"/>
      <c r="J241" s="7"/>
      <c r="K241">
        <v>1</v>
      </c>
    </row>
    <row r="242" spans="1:11" ht="12.75" x14ac:dyDescent="0.2">
      <c r="A242">
        <v>241</v>
      </c>
      <c r="B242" s="6" t="s">
        <v>840</v>
      </c>
      <c r="C242" s="6" t="s">
        <v>841</v>
      </c>
      <c r="D242" s="6" t="s">
        <v>839</v>
      </c>
      <c r="E242" s="7"/>
      <c r="F242" s="7"/>
      <c r="G242" s="7"/>
      <c r="H242" s="7"/>
      <c r="I242" s="7"/>
      <c r="J242" s="7"/>
      <c r="K242">
        <v>1</v>
      </c>
    </row>
    <row r="243" spans="1:11" ht="12.75" x14ac:dyDescent="0.2">
      <c r="A243">
        <v>242</v>
      </c>
      <c r="B243" s="6" t="s">
        <v>843</v>
      </c>
      <c r="C243" s="6" t="s">
        <v>844</v>
      </c>
      <c r="D243" s="6" t="s">
        <v>842</v>
      </c>
      <c r="E243" s="8" t="str">
        <f>HYPERLINK("https://twitter.com/puttyman5000","@puttyman5000")</f>
        <v>@puttyman5000</v>
      </c>
      <c r="F243" s="7"/>
      <c r="G243" s="7"/>
      <c r="H243" s="6" t="s">
        <v>845</v>
      </c>
      <c r="I243" s="7"/>
      <c r="J243" s="7"/>
      <c r="K243">
        <v>1</v>
      </c>
    </row>
    <row r="244" spans="1:11" ht="12.75" x14ac:dyDescent="0.2">
      <c r="A244">
        <v>243</v>
      </c>
      <c r="B244" s="6" t="s">
        <v>847</v>
      </c>
      <c r="C244" s="6" t="s">
        <v>848</v>
      </c>
      <c r="D244" s="6" t="s">
        <v>846</v>
      </c>
      <c r="E244" s="7"/>
      <c r="F244" s="7"/>
      <c r="G244" s="7"/>
      <c r="H244" s="7"/>
      <c r="I244" s="7"/>
      <c r="J244" s="7"/>
      <c r="K244">
        <v>1</v>
      </c>
    </row>
    <row r="245" spans="1:11" ht="12.75" x14ac:dyDescent="0.2">
      <c r="A245">
        <v>244</v>
      </c>
      <c r="B245" s="6" t="s">
        <v>850</v>
      </c>
      <c r="C245" s="6" t="s">
        <v>851</v>
      </c>
      <c r="D245" s="6" t="s">
        <v>849</v>
      </c>
      <c r="E245" s="7"/>
      <c r="F245" s="7"/>
      <c r="G245" s="7"/>
      <c r="H245" s="7"/>
      <c r="I245" s="7"/>
      <c r="J245" s="7"/>
      <c r="K245">
        <v>1</v>
      </c>
    </row>
    <row r="246" spans="1:11" ht="12.75" x14ac:dyDescent="0.2">
      <c r="A246">
        <v>245</v>
      </c>
      <c r="B246" s="6" t="s">
        <v>853</v>
      </c>
      <c r="C246" s="6" t="s">
        <v>854</v>
      </c>
      <c r="D246" s="6" t="s">
        <v>852</v>
      </c>
      <c r="E246" s="7"/>
      <c r="F246" s="7"/>
      <c r="G246" s="7"/>
      <c r="H246" s="7"/>
      <c r="I246" s="7"/>
      <c r="J246" s="7"/>
      <c r="K246">
        <v>1</v>
      </c>
    </row>
    <row r="247" spans="1:11" ht="12.75" x14ac:dyDescent="0.2">
      <c r="A247">
        <v>246</v>
      </c>
      <c r="B247" s="6" t="s">
        <v>856</v>
      </c>
      <c r="C247" s="6" t="s">
        <v>857</v>
      </c>
      <c r="D247" s="6" t="s">
        <v>855</v>
      </c>
      <c r="E247" s="7"/>
      <c r="F247" s="7"/>
      <c r="G247" s="7"/>
      <c r="H247" s="7"/>
      <c r="I247" s="7"/>
      <c r="J247" s="7"/>
      <c r="K247">
        <v>1</v>
      </c>
    </row>
    <row r="248" spans="1:11" ht="12.75" x14ac:dyDescent="0.2">
      <c r="A248">
        <v>247</v>
      </c>
      <c r="B248" s="6" t="s">
        <v>859</v>
      </c>
      <c r="C248" s="6" t="s">
        <v>860</v>
      </c>
      <c r="D248" s="6" t="s">
        <v>858</v>
      </c>
      <c r="E248" s="7"/>
      <c r="F248" s="7"/>
      <c r="G248" s="7"/>
      <c r="H248" s="7"/>
      <c r="I248" s="7"/>
      <c r="J248" s="7"/>
      <c r="K248">
        <v>1</v>
      </c>
    </row>
    <row r="249" spans="1:11" ht="12.75" x14ac:dyDescent="0.2">
      <c r="A249">
        <v>248</v>
      </c>
      <c r="B249" s="6" t="s">
        <v>862</v>
      </c>
      <c r="C249" s="6" t="s">
        <v>863</v>
      </c>
      <c r="D249" s="6" t="s">
        <v>861</v>
      </c>
      <c r="E249" s="7"/>
      <c r="F249" s="7"/>
      <c r="G249" s="7"/>
      <c r="H249" s="7"/>
      <c r="I249" s="7"/>
      <c r="J249" s="7"/>
      <c r="K249">
        <v>1</v>
      </c>
    </row>
    <row r="250" spans="1:11" ht="12.75" x14ac:dyDescent="0.2">
      <c r="A250">
        <v>249</v>
      </c>
      <c r="B250" s="6" t="s">
        <v>865</v>
      </c>
      <c r="C250" s="6" t="s">
        <v>866</v>
      </c>
      <c r="D250" s="6" t="s">
        <v>864</v>
      </c>
      <c r="E250" s="8" t="str">
        <f>HYPERLINK("https://twitter.com/Hot_Dog41","@Hot_Dog41")</f>
        <v>@Hot_Dog41</v>
      </c>
      <c r="F250" s="8" t="str">
        <f>HYPERLINK("http://instagram.com/hotdog_theintern","@Hotdog_TheIntern")</f>
        <v>@Hotdog_TheIntern</v>
      </c>
      <c r="G250" s="7"/>
      <c r="H250" s="6" t="s">
        <v>867</v>
      </c>
      <c r="I250" s="6" t="s">
        <v>868</v>
      </c>
      <c r="J250" s="6" t="s">
        <v>869</v>
      </c>
      <c r="K250">
        <v>1</v>
      </c>
    </row>
    <row r="251" spans="1:11" ht="12.75" x14ac:dyDescent="0.2">
      <c r="A251">
        <v>250</v>
      </c>
      <c r="B251" s="6" t="s">
        <v>871</v>
      </c>
      <c r="C251" s="6" t="s">
        <v>872</v>
      </c>
      <c r="D251" s="6" t="s">
        <v>870</v>
      </c>
      <c r="E251" s="7"/>
      <c r="F251" s="7"/>
      <c r="G251" s="7"/>
      <c r="H251" s="7"/>
      <c r="I251" s="7"/>
      <c r="J251" s="7"/>
      <c r="K251">
        <v>1</v>
      </c>
    </row>
    <row r="252" spans="1:11" ht="12.75" x14ac:dyDescent="0.2">
      <c r="A252">
        <v>251</v>
      </c>
      <c r="B252" s="6" t="s">
        <v>874</v>
      </c>
      <c r="C252" s="6" t="s">
        <v>875</v>
      </c>
      <c r="D252" s="6" t="s">
        <v>873</v>
      </c>
      <c r="E252" s="7"/>
      <c r="F252" s="7"/>
      <c r="G252" s="7"/>
      <c r="H252" s="7"/>
      <c r="I252" s="7"/>
      <c r="J252" s="7"/>
      <c r="K252">
        <v>1</v>
      </c>
    </row>
    <row r="253" spans="1:11" ht="12.75" x14ac:dyDescent="0.2">
      <c r="A253">
        <v>252</v>
      </c>
      <c r="B253" s="6" t="s">
        <v>877</v>
      </c>
      <c r="C253" s="6" t="s">
        <v>878</v>
      </c>
      <c r="D253" s="6" t="s">
        <v>876</v>
      </c>
      <c r="E253" s="7"/>
      <c r="F253" s="7"/>
      <c r="G253" s="7"/>
      <c r="H253" s="7"/>
      <c r="I253" s="7"/>
      <c r="J253" s="7"/>
      <c r="K253">
        <v>1</v>
      </c>
    </row>
    <row r="254" spans="1:11" ht="12.75" x14ac:dyDescent="0.2">
      <c r="A254">
        <v>253</v>
      </c>
      <c r="B254" s="6" t="s">
        <v>880</v>
      </c>
      <c r="C254" s="6" t="s">
        <v>881</v>
      </c>
      <c r="D254" s="6" t="s">
        <v>879</v>
      </c>
      <c r="E254" s="7"/>
      <c r="F254" s="7"/>
      <c r="G254" s="7"/>
      <c r="H254" s="7"/>
      <c r="I254" s="7"/>
      <c r="J254" s="7"/>
      <c r="K254">
        <v>1</v>
      </c>
    </row>
    <row r="255" spans="1:11" ht="12.75" x14ac:dyDescent="0.2">
      <c r="A255">
        <v>254</v>
      </c>
      <c r="B255" s="6" t="s">
        <v>883</v>
      </c>
      <c r="C255" s="6" t="s">
        <v>884</v>
      </c>
      <c r="D255" s="6" t="s">
        <v>882</v>
      </c>
      <c r="E255" s="7"/>
      <c r="F255" s="7"/>
      <c r="G255" s="7"/>
      <c r="H255" s="7"/>
      <c r="I255" s="7"/>
      <c r="J255" s="7"/>
      <c r="K255">
        <v>1</v>
      </c>
    </row>
    <row r="256" spans="1:11" ht="12.75" x14ac:dyDescent="0.2">
      <c r="A256">
        <v>255</v>
      </c>
      <c r="B256" s="6" t="s">
        <v>886</v>
      </c>
      <c r="C256" s="6" t="s">
        <v>887</v>
      </c>
      <c r="D256" s="6" t="s">
        <v>885</v>
      </c>
      <c r="E256" s="7"/>
      <c r="F256" s="7"/>
      <c r="G256" s="7"/>
      <c r="H256" s="7"/>
      <c r="I256" s="7"/>
      <c r="J256" s="7"/>
      <c r="K256">
        <v>1</v>
      </c>
    </row>
    <row r="257" spans="1:11" ht="12.75" x14ac:dyDescent="0.2">
      <c r="A257">
        <v>256</v>
      </c>
      <c r="B257" s="6" t="s">
        <v>889</v>
      </c>
      <c r="C257" s="6" t="s">
        <v>890</v>
      </c>
      <c r="D257" s="6" t="s">
        <v>888</v>
      </c>
      <c r="E257" s="7"/>
      <c r="F257" s="7"/>
      <c r="G257" s="7"/>
      <c r="H257" s="7"/>
      <c r="I257" s="7"/>
      <c r="J257" s="7"/>
      <c r="K257">
        <v>1</v>
      </c>
    </row>
    <row r="258" spans="1:11" ht="12.75" x14ac:dyDescent="0.2">
      <c r="A258">
        <v>257</v>
      </c>
      <c r="B258" s="6" t="s">
        <v>892</v>
      </c>
      <c r="C258" s="6" t="s">
        <v>893</v>
      </c>
      <c r="D258" s="6" t="s">
        <v>891</v>
      </c>
      <c r="E258" s="8" t="str">
        <f>HYPERLINK("https://twitter.com/Hyena_Fist","@Hyena_Fist")</f>
        <v>@Hyena_Fist</v>
      </c>
      <c r="F258" s="8" t="str">
        <f>HYPERLINK("http://instagram.com/hyena_fist74","@Hyena_Fist74")</f>
        <v>@Hyena_Fist74</v>
      </c>
      <c r="G258" s="6" t="s">
        <v>895</v>
      </c>
      <c r="H258" s="6" t="s">
        <v>894</v>
      </c>
      <c r="I258" s="7"/>
      <c r="J258" s="7"/>
      <c r="K258">
        <v>1</v>
      </c>
    </row>
    <row r="259" spans="1:11" ht="12.75" x14ac:dyDescent="0.2">
      <c r="A259">
        <v>258</v>
      </c>
      <c r="B259" s="6" t="s">
        <v>897</v>
      </c>
      <c r="C259" s="6" t="s">
        <v>898</v>
      </c>
      <c r="D259" s="6" t="s">
        <v>896</v>
      </c>
      <c r="E259" s="7"/>
      <c r="F259" s="7"/>
      <c r="G259" s="7"/>
      <c r="H259" s="7"/>
      <c r="I259" s="7"/>
      <c r="J259" s="7"/>
      <c r="K259">
        <v>1</v>
      </c>
    </row>
    <row r="260" spans="1:11" ht="12.75" x14ac:dyDescent="0.2">
      <c r="A260">
        <v>259</v>
      </c>
      <c r="B260" s="6" t="s">
        <v>900</v>
      </c>
      <c r="C260" s="6" t="s">
        <v>901</v>
      </c>
      <c r="D260" s="6" t="s">
        <v>899</v>
      </c>
      <c r="E260" s="8" t="str">
        <f>HYPERLINK("https://twitter.com/spryguy25","@spryguy25")</f>
        <v>@spryguy25</v>
      </c>
      <c r="F260" s="7"/>
      <c r="G260" s="6" t="s">
        <v>903</v>
      </c>
      <c r="H260" s="6" t="s">
        <v>902</v>
      </c>
      <c r="I260" s="7"/>
      <c r="J260" s="7"/>
      <c r="K260">
        <v>1</v>
      </c>
    </row>
    <row r="261" spans="1:11" ht="12.75" x14ac:dyDescent="0.2">
      <c r="A261">
        <v>260</v>
      </c>
      <c r="B261" s="6" t="s">
        <v>905</v>
      </c>
      <c r="C261" s="6" t="s">
        <v>906</v>
      </c>
      <c r="D261" s="6" t="s">
        <v>904</v>
      </c>
      <c r="E261" s="7"/>
      <c r="F261" s="7"/>
      <c r="G261" s="7"/>
      <c r="H261" s="7"/>
      <c r="I261" s="7"/>
      <c r="J261" s="7"/>
      <c r="K261">
        <v>1</v>
      </c>
    </row>
    <row r="262" spans="1:11" ht="12.75" x14ac:dyDescent="0.2">
      <c r="A262">
        <v>261</v>
      </c>
      <c r="B262" s="6" t="s">
        <v>908</v>
      </c>
      <c r="C262" s="6" t="s">
        <v>909</v>
      </c>
      <c r="D262" s="6" t="s">
        <v>907</v>
      </c>
      <c r="E262" s="7"/>
      <c r="F262" s="7"/>
      <c r="G262" s="7"/>
      <c r="H262" s="7"/>
      <c r="I262" s="7"/>
      <c r="J262" s="7"/>
      <c r="K262">
        <v>1</v>
      </c>
    </row>
    <row r="263" spans="1:11" ht="12.75" x14ac:dyDescent="0.2">
      <c r="A263">
        <v>262</v>
      </c>
      <c r="B263" s="6" t="s">
        <v>911</v>
      </c>
      <c r="C263" s="6" t="s">
        <v>912</v>
      </c>
      <c r="D263" s="6" t="s">
        <v>910</v>
      </c>
      <c r="E263" s="7"/>
      <c r="F263" s="7"/>
      <c r="G263" s="7"/>
      <c r="H263" s="7"/>
      <c r="I263" s="7"/>
      <c r="J263" s="7"/>
      <c r="K263">
        <v>1</v>
      </c>
    </row>
    <row r="264" spans="1:11" ht="12.75" x14ac:dyDescent="0.2">
      <c r="A264">
        <v>263</v>
      </c>
      <c r="B264" s="6" t="s">
        <v>914</v>
      </c>
      <c r="C264" s="6" t="s">
        <v>915</v>
      </c>
      <c r="D264" s="6" t="s">
        <v>913</v>
      </c>
      <c r="E264" s="8" t="str">
        <f>HYPERLINK("https://twitter.com/azkellie","@AZKellie")</f>
        <v>@AZKellie</v>
      </c>
      <c r="F264" s="8" t="str">
        <f>HYPERLINK("http://instagram.com/azkellie","@AZKellie")</f>
        <v>@AZKellie</v>
      </c>
      <c r="G264" s="7"/>
      <c r="H264" s="6" t="s">
        <v>916</v>
      </c>
      <c r="I264" s="6" t="s">
        <v>917</v>
      </c>
      <c r="J264" s="7"/>
      <c r="K264">
        <v>1</v>
      </c>
    </row>
    <row r="265" spans="1:11" ht="12.75" x14ac:dyDescent="0.2">
      <c r="A265">
        <v>264</v>
      </c>
      <c r="B265" s="6" t="s">
        <v>919</v>
      </c>
      <c r="C265" s="6" t="s">
        <v>920</v>
      </c>
      <c r="D265" s="6" t="s">
        <v>918</v>
      </c>
      <c r="E265" s="7"/>
      <c r="F265" s="7"/>
      <c r="G265" s="7"/>
      <c r="H265" s="7"/>
      <c r="I265" s="7"/>
      <c r="J265" s="7"/>
      <c r="K265">
        <v>1</v>
      </c>
    </row>
    <row r="266" spans="1:11" ht="12.75" x14ac:dyDescent="0.2">
      <c r="A266">
        <v>265</v>
      </c>
      <c r="B266" s="6" t="s">
        <v>922</v>
      </c>
      <c r="C266" s="6" t="s">
        <v>923</v>
      </c>
      <c r="D266" s="6" t="s">
        <v>921</v>
      </c>
      <c r="E266" s="7"/>
      <c r="F266" s="7"/>
      <c r="G266" s="7"/>
      <c r="H266" s="7"/>
      <c r="I266" s="7"/>
      <c r="J266" s="7"/>
      <c r="K266">
        <v>1</v>
      </c>
    </row>
    <row r="267" spans="1:11" ht="12.75" x14ac:dyDescent="0.2">
      <c r="A267">
        <v>266</v>
      </c>
      <c r="B267" s="6" t="s">
        <v>925</v>
      </c>
      <c r="C267" s="6" t="s">
        <v>926</v>
      </c>
      <c r="D267" s="6" t="s">
        <v>924</v>
      </c>
      <c r="E267" s="7"/>
      <c r="F267" s="7"/>
      <c r="G267" s="7"/>
      <c r="H267" s="7"/>
      <c r="I267" s="7"/>
      <c r="J267" s="7"/>
      <c r="K267">
        <v>1</v>
      </c>
    </row>
    <row r="268" spans="1:11" ht="12.75" x14ac:dyDescent="0.2">
      <c r="A268">
        <v>267</v>
      </c>
      <c r="B268" s="6" t="s">
        <v>928</v>
      </c>
      <c r="C268" s="6" t="s">
        <v>929</v>
      </c>
      <c r="D268" s="6" t="s">
        <v>927</v>
      </c>
      <c r="E268" s="7"/>
      <c r="F268" s="7"/>
      <c r="G268" s="7"/>
      <c r="H268" s="7"/>
      <c r="I268" s="7"/>
      <c r="J268" s="7"/>
      <c r="K268">
        <v>1</v>
      </c>
    </row>
    <row r="269" spans="1:11" ht="12.75" x14ac:dyDescent="0.2">
      <c r="A269">
        <v>268</v>
      </c>
      <c r="B269" s="6" t="s">
        <v>931</v>
      </c>
      <c r="C269" s="6" t="s">
        <v>932</v>
      </c>
      <c r="D269" s="6" t="s">
        <v>930</v>
      </c>
      <c r="E269" s="8" t="str">
        <f>HYPERLINK("https://twitter.com/mauibry","@mauibry")</f>
        <v>@mauibry</v>
      </c>
      <c r="F269" s="8" t="str">
        <f>HYPERLINK("http://instagram.com/mauibry","@mauibry")</f>
        <v>@mauibry</v>
      </c>
      <c r="G269" s="7"/>
      <c r="H269" s="6" t="s">
        <v>933</v>
      </c>
      <c r="I269" s="7"/>
      <c r="J269" s="7"/>
      <c r="K269">
        <v>1</v>
      </c>
    </row>
    <row r="270" spans="1:11" ht="12.75" x14ac:dyDescent="0.2">
      <c r="A270">
        <v>269</v>
      </c>
      <c r="B270" s="6" t="s">
        <v>935</v>
      </c>
      <c r="C270" s="6" t="s">
        <v>936</v>
      </c>
      <c r="D270" s="6" t="s">
        <v>934</v>
      </c>
      <c r="E270" s="7"/>
      <c r="F270" s="7"/>
      <c r="G270" s="7"/>
      <c r="H270" s="7"/>
      <c r="I270" s="7"/>
      <c r="J270" s="7"/>
      <c r="K270">
        <v>1</v>
      </c>
    </row>
    <row r="271" spans="1:11" ht="12.75" x14ac:dyDescent="0.2">
      <c r="A271">
        <v>270</v>
      </c>
      <c r="B271" s="6" t="s">
        <v>938</v>
      </c>
      <c r="C271" s="6" t="s">
        <v>939</v>
      </c>
      <c r="D271" s="6" t="s">
        <v>937</v>
      </c>
      <c r="E271" s="7"/>
      <c r="F271" s="7"/>
      <c r="G271" s="7"/>
      <c r="H271" s="7"/>
      <c r="I271" s="7"/>
      <c r="J271" s="7"/>
      <c r="K271">
        <v>1</v>
      </c>
    </row>
    <row r="272" spans="1:11" ht="12.75" x14ac:dyDescent="0.2">
      <c r="A272">
        <v>271</v>
      </c>
      <c r="B272" s="6" t="s">
        <v>941</v>
      </c>
      <c r="C272" s="6" t="s">
        <v>942</v>
      </c>
      <c r="D272" s="6" t="s">
        <v>940</v>
      </c>
      <c r="E272" s="8" t="str">
        <f>HYPERLINK("https://twitter.com/RadioJetta","@RadioJetta")</f>
        <v>@RadioJetta</v>
      </c>
      <c r="F272" s="8" t="str">
        <f>HYPERLINK("http://instagram.com/radiojetta","@RadioJetta")</f>
        <v>@RadioJetta</v>
      </c>
      <c r="G272" s="6" t="s">
        <v>944</v>
      </c>
      <c r="H272" s="6" t="s">
        <v>943</v>
      </c>
      <c r="I272" s="6"/>
      <c r="J272" s="6" t="s">
        <v>945</v>
      </c>
      <c r="K272">
        <v>1</v>
      </c>
    </row>
    <row r="273" spans="1:11" ht="12.75" x14ac:dyDescent="0.2">
      <c r="A273">
        <v>272</v>
      </c>
      <c r="B273" s="6" t="s">
        <v>947</v>
      </c>
      <c r="C273" s="6" t="s">
        <v>948</v>
      </c>
      <c r="D273" s="6" t="s">
        <v>946</v>
      </c>
      <c r="E273" s="7"/>
      <c r="F273" s="7"/>
      <c r="G273" s="7"/>
      <c r="H273" s="7"/>
      <c r="I273" s="7"/>
      <c r="J273" s="7"/>
      <c r="K273">
        <v>1</v>
      </c>
    </row>
    <row r="274" spans="1:11" ht="12.75" x14ac:dyDescent="0.2">
      <c r="A274">
        <v>273</v>
      </c>
      <c r="B274" s="12" t="s">
        <v>950</v>
      </c>
      <c r="C274" s="12" t="s">
        <v>951</v>
      </c>
      <c r="D274" s="12" t="s">
        <v>949</v>
      </c>
      <c r="E274" s="13" t="str">
        <f>HYPERLINK("https://twitter.com/leebunting","@leebunting")</f>
        <v>@leebunting</v>
      </c>
      <c r="F274" s="13" t="str">
        <f>HYPERLINK("http://instagram.com/leebunting","@leebunting")</f>
        <v>@leebunting</v>
      </c>
      <c r="G274" s="12" t="s">
        <v>953</v>
      </c>
      <c r="H274" s="12" t="s">
        <v>952</v>
      </c>
      <c r="I274" s="12"/>
      <c r="J274" s="7"/>
      <c r="K274">
        <v>1</v>
      </c>
    </row>
    <row r="275" spans="1:11" ht="12.75" x14ac:dyDescent="0.2">
      <c r="A275">
        <v>274</v>
      </c>
      <c r="B275" s="12" t="s">
        <v>955</v>
      </c>
      <c r="C275" s="12" t="s">
        <v>956</v>
      </c>
      <c r="D275" s="12" t="s">
        <v>954</v>
      </c>
      <c r="E275" s="14"/>
      <c r="F275" s="13" t="str">
        <f>HYPERLINK("http://instagram.com/deadletters/","@deadletters")</f>
        <v>@deadletters</v>
      </c>
      <c r="G275" s="12" t="s">
        <v>958</v>
      </c>
      <c r="H275" s="12" t="s">
        <v>957</v>
      </c>
      <c r="I275" s="12" t="s">
        <v>959</v>
      </c>
      <c r="J275" s="7"/>
      <c r="K275">
        <v>1</v>
      </c>
    </row>
    <row r="276" spans="1:11" ht="12.75" x14ac:dyDescent="0.2">
      <c r="A276">
        <v>275</v>
      </c>
      <c r="B276" s="6" t="s">
        <v>961</v>
      </c>
      <c r="C276" s="6" t="s">
        <v>962</v>
      </c>
      <c r="D276" s="6" t="s">
        <v>960</v>
      </c>
      <c r="E276" s="7"/>
      <c r="F276" s="7"/>
      <c r="G276" s="7"/>
      <c r="H276" s="7"/>
      <c r="I276" s="7"/>
      <c r="J276" s="7"/>
      <c r="K276">
        <v>1</v>
      </c>
    </row>
    <row r="277" spans="1:11" ht="12.75" x14ac:dyDescent="0.2">
      <c r="A277">
        <v>276</v>
      </c>
      <c r="B277" s="6" t="s">
        <v>964</v>
      </c>
      <c r="C277" s="6" t="s">
        <v>965</v>
      </c>
      <c r="D277" s="6" t="s">
        <v>963</v>
      </c>
      <c r="E277" s="7"/>
      <c r="F277" s="7"/>
      <c r="G277" s="7"/>
      <c r="H277" s="7"/>
      <c r="I277" s="7"/>
      <c r="J277" s="7"/>
      <c r="K277">
        <v>1</v>
      </c>
    </row>
    <row r="278" spans="1:11" ht="12.75" x14ac:dyDescent="0.2">
      <c r="A278">
        <v>277</v>
      </c>
      <c r="B278" s="6" t="s">
        <v>967</v>
      </c>
      <c r="C278" s="6" t="s">
        <v>968</v>
      </c>
      <c r="D278" s="6" t="s">
        <v>966</v>
      </c>
      <c r="E278" s="8" t="str">
        <f>HYPERLINK("https://twitter.com/johninhouston","@JohnInHouston")</f>
        <v>@JohnInHouston</v>
      </c>
      <c r="F278" s="8" t="str">
        <f>HYPERLINK("http://instagram.com/johninhouston","@JohnInHouston")</f>
        <v>@JohnInHouston</v>
      </c>
      <c r="G278" s="6" t="s">
        <v>970</v>
      </c>
      <c r="H278" s="6" t="s">
        <v>969</v>
      </c>
      <c r="I278" s="6" t="s">
        <v>971</v>
      </c>
      <c r="J278" s="7"/>
      <c r="K278">
        <v>1</v>
      </c>
    </row>
    <row r="279" spans="1:11" ht="12.75" x14ac:dyDescent="0.2">
      <c r="A279">
        <v>278</v>
      </c>
      <c r="B279" s="6" t="s">
        <v>973</v>
      </c>
      <c r="C279" s="6" t="s">
        <v>974</v>
      </c>
      <c r="D279" s="6" t="s">
        <v>972</v>
      </c>
      <c r="E279" s="7"/>
      <c r="F279" s="7"/>
      <c r="G279" s="7"/>
      <c r="H279" s="7"/>
      <c r="I279" s="7"/>
      <c r="J279" s="7"/>
      <c r="K279">
        <v>1</v>
      </c>
    </row>
    <row r="280" spans="1:11" ht="12.75" x14ac:dyDescent="0.2">
      <c r="A280">
        <v>279</v>
      </c>
      <c r="B280" s="6" t="s">
        <v>976</v>
      </c>
      <c r="C280" s="6" t="s">
        <v>977</v>
      </c>
      <c r="D280" s="6" t="s">
        <v>975</v>
      </c>
      <c r="E280" s="7"/>
      <c r="F280" s="7"/>
      <c r="G280" s="7"/>
      <c r="H280" s="7"/>
      <c r="I280" s="7"/>
      <c r="J280" s="7"/>
      <c r="K280">
        <v>1</v>
      </c>
    </row>
    <row r="281" spans="1:11" ht="12.75" x14ac:dyDescent="0.2">
      <c r="A281">
        <v>280</v>
      </c>
      <c r="B281" s="6" t="s">
        <v>979</v>
      </c>
      <c r="C281" s="6" t="s">
        <v>980</v>
      </c>
      <c r="D281" s="6" t="s">
        <v>978</v>
      </c>
      <c r="E281" s="7"/>
      <c r="F281" s="7"/>
      <c r="G281" s="7"/>
      <c r="H281" s="7"/>
      <c r="I281" s="7"/>
      <c r="J281" s="7"/>
      <c r="K281">
        <v>1</v>
      </c>
    </row>
    <row r="282" spans="1:11" ht="12.75" x14ac:dyDescent="0.2">
      <c r="A282">
        <v>281</v>
      </c>
      <c r="B282" s="6" t="s">
        <v>982</v>
      </c>
      <c r="C282" s="6" t="s">
        <v>983</v>
      </c>
      <c r="D282" s="6" t="s">
        <v>981</v>
      </c>
      <c r="E282" s="7"/>
      <c r="F282" s="7"/>
      <c r="G282" s="7"/>
      <c r="H282" s="7"/>
      <c r="I282" s="7"/>
      <c r="J282" s="7"/>
      <c r="K282">
        <v>1</v>
      </c>
    </row>
    <row r="283" spans="1:11" ht="12.75" x14ac:dyDescent="0.2">
      <c r="A283">
        <v>282</v>
      </c>
      <c r="B283" s="6" t="s">
        <v>985</v>
      </c>
      <c r="C283" s="6" t="s">
        <v>986</v>
      </c>
      <c r="D283" s="6" t="s">
        <v>984</v>
      </c>
      <c r="E283" s="7"/>
      <c r="F283" s="7"/>
      <c r="G283" s="7"/>
      <c r="H283" s="7"/>
      <c r="I283" s="7"/>
      <c r="J283" s="7"/>
      <c r="K283">
        <v>1</v>
      </c>
    </row>
    <row r="284" spans="1:11" ht="12.75" x14ac:dyDescent="0.2">
      <c r="A284">
        <v>283</v>
      </c>
      <c r="B284" s="6" t="s">
        <v>988</v>
      </c>
      <c r="C284" s="6" t="s">
        <v>989</v>
      </c>
      <c r="D284" s="6" t="s">
        <v>987</v>
      </c>
      <c r="E284" s="7"/>
      <c r="F284" s="7"/>
      <c r="G284" s="7"/>
      <c r="H284" s="7"/>
      <c r="I284" s="7"/>
      <c r="J284" s="7"/>
      <c r="K284">
        <v>1</v>
      </c>
    </row>
    <row r="285" spans="1:11" ht="12.75" x14ac:dyDescent="0.2">
      <c r="A285">
        <v>284</v>
      </c>
      <c r="B285" s="6" t="s">
        <v>991</v>
      </c>
      <c r="C285" s="6" t="s">
        <v>992</v>
      </c>
      <c r="D285" s="6" t="s">
        <v>990</v>
      </c>
      <c r="E285" s="7"/>
      <c r="F285" s="7"/>
      <c r="G285" s="7"/>
      <c r="H285" s="7"/>
      <c r="I285" s="7"/>
      <c r="J285" s="7"/>
      <c r="K285">
        <v>1</v>
      </c>
    </row>
    <row r="286" spans="1:11" ht="12.75" x14ac:dyDescent="0.2">
      <c r="A286">
        <v>285</v>
      </c>
      <c r="B286" s="6" t="s">
        <v>994</v>
      </c>
      <c r="C286" s="6" t="s">
        <v>995</v>
      </c>
      <c r="D286" s="6" t="s">
        <v>993</v>
      </c>
      <c r="E286" s="7"/>
      <c r="F286" s="7"/>
      <c r="G286" s="7"/>
      <c r="H286" s="6" t="s">
        <v>996</v>
      </c>
      <c r="I286" s="7"/>
      <c r="J286" s="7"/>
      <c r="K286">
        <v>1</v>
      </c>
    </row>
    <row r="287" spans="1:11" ht="12.75" x14ac:dyDescent="0.2">
      <c r="A287">
        <v>286</v>
      </c>
      <c r="B287" s="6" t="s">
        <v>998</v>
      </c>
      <c r="C287" s="6" t="s">
        <v>999</v>
      </c>
      <c r="D287" s="6" t="s">
        <v>997</v>
      </c>
      <c r="E287" s="7"/>
      <c r="F287" s="7"/>
      <c r="G287" s="7"/>
      <c r="H287" s="7"/>
      <c r="I287" s="7"/>
      <c r="J287" s="7"/>
      <c r="K287">
        <v>1</v>
      </c>
    </row>
    <row r="288" spans="1:11" ht="12.75" x14ac:dyDescent="0.2">
      <c r="A288">
        <v>287</v>
      </c>
      <c r="B288" s="6" t="s">
        <v>1001</v>
      </c>
      <c r="C288" s="6" t="s">
        <v>1002</v>
      </c>
      <c r="D288" s="6" t="s">
        <v>1000</v>
      </c>
      <c r="E288" s="7"/>
      <c r="F288" s="7"/>
      <c r="G288" s="7"/>
      <c r="H288" s="7"/>
      <c r="I288" s="7"/>
      <c r="J288" s="7"/>
      <c r="K288">
        <v>1</v>
      </c>
    </row>
    <row r="289" spans="1:11" ht="12.75" x14ac:dyDescent="0.2">
      <c r="A289">
        <v>288</v>
      </c>
      <c r="B289" s="6" t="s">
        <v>1004</v>
      </c>
      <c r="C289" s="6" t="s">
        <v>1005</v>
      </c>
      <c r="D289" s="6" t="s">
        <v>1003</v>
      </c>
      <c r="E289" s="7"/>
      <c r="F289" s="7"/>
      <c r="G289" s="7"/>
      <c r="H289" s="7"/>
      <c r="I289" s="7"/>
      <c r="J289" s="7"/>
      <c r="K289">
        <v>1</v>
      </c>
    </row>
    <row r="290" spans="1:11" ht="12.75" x14ac:dyDescent="0.2">
      <c r="A290">
        <v>289</v>
      </c>
      <c r="B290" s="6" t="s">
        <v>1007</v>
      </c>
      <c r="C290" s="6" t="s">
        <v>1008</v>
      </c>
      <c r="D290" s="6" t="s">
        <v>1006</v>
      </c>
      <c r="E290" s="7"/>
      <c r="F290" s="7"/>
      <c r="G290" s="7"/>
      <c r="H290" s="7"/>
      <c r="I290" s="7"/>
      <c r="J290" s="7"/>
      <c r="K290">
        <v>1</v>
      </c>
    </row>
    <row r="291" spans="1:11" ht="12.75" x14ac:dyDescent="0.2">
      <c r="A291">
        <v>290</v>
      </c>
      <c r="B291" s="6" t="s">
        <v>1010</v>
      </c>
      <c r="C291" s="6" t="s">
        <v>1011</v>
      </c>
      <c r="D291" s="6" t="s">
        <v>1009</v>
      </c>
      <c r="E291" s="7"/>
      <c r="F291" s="7"/>
      <c r="G291" s="7"/>
      <c r="H291" s="7"/>
      <c r="I291" s="7"/>
      <c r="J291" s="7"/>
      <c r="K291">
        <v>1</v>
      </c>
    </row>
    <row r="292" spans="1:11" ht="12.75" x14ac:dyDescent="0.2">
      <c r="A292">
        <v>291</v>
      </c>
      <c r="B292" s="6" t="s">
        <v>1013</v>
      </c>
      <c r="C292" s="6" t="s">
        <v>1014</v>
      </c>
      <c r="D292" s="6" t="s">
        <v>1012</v>
      </c>
      <c r="E292" s="8" t="str">
        <f>HYPERLINK("https://twitter.com/AZ_RedDragon","@AZ_RedDragon ")</f>
        <v xml:space="preserve">@AZ_RedDragon </v>
      </c>
      <c r="F292" s="8" t="str">
        <f>HYPERLINK("http://instagram.com/az_reddragon/","@AZ_RedDragon ")</f>
        <v xml:space="preserve">@AZ_RedDragon </v>
      </c>
      <c r="G292" s="7"/>
      <c r="H292" s="6" t="s">
        <v>1015</v>
      </c>
      <c r="I292" s="6" t="s">
        <v>1016</v>
      </c>
      <c r="J292" s="7"/>
      <c r="K292">
        <v>1</v>
      </c>
    </row>
    <row r="293" spans="1:11" ht="12.75" x14ac:dyDescent="0.2">
      <c r="A293">
        <v>292</v>
      </c>
      <c r="B293" s="6" t="s">
        <v>1018</v>
      </c>
      <c r="C293" s="6" t="s">
        <v>1019</v>
      </c>
      <c r="D293" s="6" t="s">
        <v>1017</v>
      </c>
      <c r="E293" s="8" t="str">
        <f>HYPERLINK("https://twitter.com/PaulM138666","@PaulM138666")</f>
        <v>@PaulM138666</v>
      </c>
      <c r="F293" s="7"/>
      <c r="G293" s="7"/>
      <c r="H293" s="6" t="s">
        <v>1020</v>
      </c>
      <c r="I293" s="6" t="s">
        <v>1021</v>
      </c>
      <c r="J293" s="7"/>
      <c r="K293">
        <v>1</v>
      </c>
    </row>
    <row r="294" spans="1:11" ht="12.75" x14ac:dyDescent="0.2">
      <c r="A294">
        <v>293</v>
      </c>
      <c r="B294" s="6" t="s">
        <v>1023</v>
      </c>
      <c r="C294" s="6" t="s">
        <v>1024</v>
      </c>
      <c r="D294" s="6" t="s">
        <v>1022</v>
      </c>
      <c r="E294" s="7"/>
      <c r="F294" s="7"/>
      <c r="G294" s="7"/>
      <c r="H294" s="7"/>
      <c r="I294" s="7"/>
      <c r="J294" s="7"/>
      <c r="K294">
        <v>1</v>
      </c>
    </row>
    <row r="295" spans="1:11" ht="12.75" x14ac:dyDescent="0.2">
      <c r="A295">
        <v>294</v>
      </c>
      <c r="B295" s="6" t="s">
        <v>1026</v>
      </c>
      <c r="C295" s="6" t="s">
        <v>1027</v>
      </c>
      <c r="D295" s="6" t="s">
        <v>1025</v>
      </c>
      <c r="E295" s="7"/>
      <c r="F295" s="7"/>
      <c r="G295" s="7"/>
      <c r="H295" s="7"/>
      <c r="I295" s="7"/>
      <c r="J295" s="7"/>
      <c r="K295">
        <v>1</v>
      </c>
    </row>
    <row r="296" spans="1:11" ht="12.75" x14ac:dyDescent="0.2">
      <c r="A296">
        <v>295</v>
      </c>
      <c r="B296" s="6" t="s">
        <v>1029</v>
      </c>
      <c r="C296" s="6" t="s">
        <v>1030</v>
      </c>
      <c r="D296" s="6" t="s">
        <v>1028</v>
      </c>
      <c r="E296" s="7"/>
      <c r="F296" s="7"/>
      <c r="G296" s="7"/>
      <c r="H296" s="7"/>
      <c r="I296" s="7"/>
      <c r="J296" s="7"/>
      <c r="K296">
        <v>1</v>
      </c>
    </row>
    <row r="297" spans="1:11" ht="12.75" x14ac:dyDescent="0.2">
      <c r="A297">
        <v>296</v>
      </c>
      <c r="B297" s="6" t="s">
        <v>1032</v>
      </c>
      <c r="C297" s="6" t="s">
        <v>1033</v>
      </c>
      <c r="D297" s="6" t="s">
        <v>1031</v>
      </c>
      <c r="E297" s="8" t="str">
        <f>HYPERLINK("https://twitter.com/mighty_boognish","@mighty_boognish")</f>
        <v>@mighty_boognish</v>
      </c>
      <c r="F297" s="8" t="str">
        <f>HYPERLINK("http://instagram.com/themightyboognish","@themightyboognish")</f>
        <v>@themightyboognish</v>
      </c>
      <c r="G297" s="6" t="s">
        <v>1035</v>
      </c>
      <c r="H297" s="6" t="s">
        <v>1034</v>
      </c>
      <c r="I297" s="6" t="s">
        <v>1036</v>
      </c>
      <c r="J297" s="6" t="s">
        <v>1037</v>
      </c>
      <c r="K297">
        <v>1</v>
      </c>
    </row>
    <row r="298" spans="1:11" ht="12.75" x14ac:dyDescent="0.2">
      <c r="A298">
        <v>297</v>
      </c>
      <c r="B298" s="6" t="s">
        <v>1039</v>
      </c>
      <c r="C298" s="6" t="s">
        <v>1040</v>
      </c>
      <c r="D298" s="6" t="s">
        <v>1038</v>
      </c>
      <c r="E298" s="7"/>
      <c r="F298" s="7"/>
      <c r="G298" s="7"/>
      <c r="H298" s="7"/>
      <c r="I298" s="7"/>
      <c r="J298" s="7"/>
      <c r="K298">
        <v>1</v>
      </c>
    </row>
    <row r="299" spans="1:11" ht="12.75" x14ac:dyDescent="0.2">
      <c r="A299">
        <v>298</v>
      </c>
      <c r="B299" s="6" t="s">
        <v>1042</v>
      </c>
      <c r="C299" s="6" t="s">
        <v>1043</v>
      </c>
      <c r="D299" s="6" t="s">
        <v>1041</v>
      </c>
      <c r="E299" s="7"/>
      <c r="F299" s="7"/>
      <c r="G299" s="7"/>
      <c r="H299" s="7"/>
      <c r="I299" s="7"/>
      <c r="J299" s="7"/>
      <c r="K299">
        <v>1</v>
      </c>
    </row>
    <row r="300" spans="1:11" ht="12.75" x14ac:dyDescent="0.2">
      <c r="A300">
        <v>299</v>
      </c>
      <c r="B300" s="6" t="s">
        <v>1045</v>
      </c>
      <c r="C300" s="6" t="s">
        <v>1046</v>
      </c>
      <c r="D300" s="6" t="s">
        <v>1044</v>
      </c>
      <c r="E300" s="7"/>
      <c r="F300" s="7"/>
      <c r="G300" s="7"/>
      <c r="H300" s="7"/>
      <c r="I300" s="7"/>
      <c r="J300" s="7"/>
      <c r="K300">
        <v>1</v>
      </c>
    </row>
    <row r="301" spans="1:11" ht="12.75" x14ac:dyDescent="0.2">
      <c r="A301">
        <v>300</v>
      </c>
      <c r="B301" s="6" t="s">
        <v>1048</v>
      </c>
      <c r="C301" s="6" t="s">
        <v>1049</v>
      </c>
      <c r="D301" s="6" t="s">
        <v>1047</v>
      </c>
      <c r="E301" s="7"/>
      <c r="F301" s="7"/>
      <c r="G301" s="7"/>
      <c r="H301" s="7"/>
      <c r="I301" s="7"/>
      <c r="J301" s="7"/>
      <c r="K301">
        <v>1</v>
      </c>
    </row>
    <row r="302" spans="1:11" ht="12.75" x14ac:dyDescent="0.2">
      <c r="A302">
        <v>301</v>
      </c>
      <c r="B302" s="6" t="s">
        <v>1051</v>
      </c>
      <c r="C302" s="6" t="s">
        <v>1052</v>
      </c>
      <c r="D302" s="6" t="s">
        <v>1050</v>
      </c>
      <c r="E302" s="7"/>
      <c r="F302" s="7"/>
      <c r="G302" s="7"/>
      <c r="H302" s="7"/>
      <c r="I302" s="7"/>
      <c r="J302" s="7"/>
      <c r="K302">
        <v>1</v>
      </c>
    </row>
    <row r="303" spans="1:11" ht="12.75" x14ac:dyDescent="0.2">
      <c r="A303">
        <v>302</v>
      </c>
      <c r="B303" s="6" t="s">
        <v>1054</v>
      </c>
      <c r="C303" s="6" t="s">
        <v>1055</v>
      </c>
      <c r="D303" s="6" t="s">
        <v>1053</v>
      </c>
      <c r="E303" s="7"/>
      <c r="F303" s="7"/>
      <c r="G303" s="7"/>
      <c r="H303" s="7"/>
      <c r="I303" s="7"/>
      <c r="J303" s="7"/>
      <c r="K303">
        <v>1</v>
      </c>
    </row>
    <row r="304" spans="1:11" ht="12.75" x14ac:dyDescent="0.2">
      <c r="A304">
        <v>303</v>
      </c>
      <c r="B304" s="6" t="s">
        <v>1057</v>
      </c>
      <c r="C304" s="6" t="s">
        <v>1058</v>
      </c>
      <c r="D304" s="6" t="s">
        <v>1056</v>
      </c>
      <c r="E304" s="7"/>
      <c r="F304" s="7"/>
      <c r="G304" s="7"/>
      <c r="H304" s="7"/>
      <c r="I304" s="7"/>
      <c r="J304" s="7"/>
      <c r="K304">
        <v>1</v>
      </c>
    </row>
    <row r="305" spans="1:11" ht="12.75" x14ac:dyDescent="0.2">
      <c r="A305">
        <v>304</v>
      </c>
      <c r="B305" s="6" t="s">
        <v>1060</v>
      </c>
      <c r="C305" s="6" t="s">
        <v>1061</v>
      </c>
      <c r="D305" s="6" t="s">
        <v>1059</v>
      </c>
      <c r="E305" s="7"/>
      <c r="F305" s="7"/>
      <c r="G305" s="7"/>
      <c r="H305" s="7"/>
      <c r="I305" s="7"/>
      <c r="J305" s="7"/>
      <c r="K305">
        <v>1</v>
      </c>
    </row>
    <row r="306" spans="1:11" ht="12.75" x14ac:dyDescent="0.2">
      <c r="A306">
        <v>305</v>
      </c>
      <c r="B306" s="6" t="s">
        <v>1063</v>
      </c>
      <c r="C306" s="6" t="s">
        <v>1064</v>
      </c>
      <c r="D306" s="6" t="s">
        <v>1062</v>
      </c>
      <c r="E306" s="7"/>
      <c r="F306" s="7"/>
      <c r="G306" s="7"/>
      <c r="H306" s="7"/>
      <c r="I306" s="7"/>
      <c r="J306" s="7"/>
      <c r="K306">
        <v>1</v>
      </c>
    </row>
    <row r="307" spans="1:11" ht="12.75" x14ac:dyDescent="0.2">
      <c r="A307">
        <v>306</v>
      </c>
      <c r="B307" s="6" t="s">
        <v>1066</v>
      </c>
      <c r="C307" s="6" t="s">
        <v>1067</v>
      </c>
      <c r="D307" s="6" t="s">
        <v>1065</v>
      </c>
      <c r="E307" s="7"/>
      <c r="F307" s="7"/>
      <c r="G307" s="7"/>
      <c r="H307" s="7"/>
      <c r="I307" s="7"/>
      <c r="J307" s="7"/>
      <c r="K307">
        <v>1</v>
      </c>
    </row>
    <row r="308" spans="1:11" ht="12.75" x14ac:dyDescent="0.2">
      <c r="A308">
        <v>307</v>
      </c>
      <c r="B308" s="6" t="s">
        <v>1069</v>
      </c>
      <c r="C308" s="6" t="s">
        <v>1070</v>
      </c>
      <c r="D308" s="6" t="s">
        <v>1068</v>
      </c>
      <c r="E308" s="7"/>
      <c r="F308" s="7"/>
      <c r="G308" s="7"/>
      <c r="H308" s="7"/>
      <c r="I308" s="7"/>
      <c r="J308" s="7"/>
      <c r="K308">
        <v>1</v>
      </c>
    </row>
    <row r="309" spans="1:11" ht="12.75" x14ac:dyDescent="0.2">
      <c r="A309">
        <v>308</v>
      </c>
      <c r="B309" s="6" t="s">
        <v>1072</v>
      </c>
      <c r="C309" s="6" t="s">
        <v>1073</v>
      </c>
      <c r="D309" s="6" t="s">
        <v>1071</v>
      </c>
      <c r="E309" s="7"/>
      <c r="F309" s="7"/>
      <c r="G309" s="7"/>
      <c r="H309" s="7"/>
      <c r="I309" s="7"/>
      <c r="J309" s="7"/>
      <c r="K309">
        <v>1</v>
      </c>
    </row>
    <row r="310" spans="1:11" ht="12.75" x14ac:dyDescent="0.2">
      <c r="A310">
        <v>309</v>
      </c>
      <c r="B310" s="6" t="s">
        <v>1075</v>
      </c>
      <c r="C310" s="6" t="s">
        <v>1076</v>
      </c>
      <c r="D310" s="6" t="s">
        <v>1074</v>
      </c>
      <c r="E310" s="7"/>
      <c r="F310" s="7"/>
      <c r="G310" s="7"/>
      <c r="H310" s="7"/>
      <c r="I310" s="7"/>
      <c r="J310" s="7"/>
      <c r="K310">
        <v>1</v>
      </c>
    </row>
    <row r="311" spans="1:11" ht="12.75" x14ac:dyDescent="0.2">
      <c r="A311">
        <v>310</v>
      </c>
      <c r="B311" s="6" t="s">
        <v>1078</v>
      </c>
      <c r="C311" s="6" t="s">
        <v>1079</v>
      </c>
      <c r="D311" s="6" t="s">
        <v>1077</v>
      </c>
      <c r="E311" s="7"/>
      <c r="F311" s="7"/>
      <c r="G311" s="7"/>
      <c r="H311" s="7"/>
      <c r="I311" s="7"/>
      <c r="J311" s="7"/>
      <c r="K311">
        <v>1</v>
      </c>
    </row>
    <row r="312" spans="1:11" ht="12.75" x14ac:dyDescent="0.2">
      <c r="A312">
        <v>311</v>
      </c>
      <c r="B312" s="6" t="s">
        <v>1081</v>
      </c>
      <c r="C312" s="6" t="s">
        <v>1082</v>
      </c>
      <c r="D312" s="6" t="s">
        <v>1080</v>
      </c>
      <c r="E312" s="8" t="str">
        <f>HYPERLINK("https://twitter.com/TonyMcCord","@TonyMcCord")</f>
        <v>@TonyMcCord</v>
      </c>
      <c r="F312" s="8" t="str">
        <f>HYPERLINK("http://instagram.com/anthonymccord","@anthonymccord")</f>
        <v>@anthonymccord</v>
      </c>
      <c r="G312" s="6" t="s">
        <v>1084</v>
      </c>
      <c r="H312" s="6" t="s">
        <v>1083</v>
      </c>
      <c r="I312" s="7"/>
      <c r="J312" s="7"/>
      <c r="K312">
        <v>1</v>
      </c>
    </row>
    <row r="313" spans="1:11" ht="12.75" x14ac:dyDescent="0.2">
      <c r="A313">
        <v>312</v>
      </c>
      <c r="B313" s="6" t="s">
        <v>1086</v>
      </c>
      <c r="C313" s="6" t="s">
        <v>1087</v>
      </c>
      <c r="D313" s="6" t="s">
        <v>1085</v>
      </c>
      <c r="E313" s="7"/>
      <c r="F313" s="7"/>
      <c r="G313" s="7"/>
      <c r="H313" s="6" t="s">
        <v>1088</v>
      </c>
      <c r="I313" s="7"/>
      <c r="J313" s="7"/>
      <c r="K313">
        <v>1</v>
      </c>
    </row>
    <row r="314" spans="1:11" ht="12.75" x14ac:dyDescent="0.2">
      <c r="A314">
        <v>313</v>
      </c>
      <c r="B314" s="6" t="s">
        <v>1090</v>
      </c>
      <c r="C314" s="6" t="s">
        <v>1091</v>
      </c>
      <c r="D314" s="6" t="s">
        <v>1089</v>
      </c>
      <c r="E314" s="7"/>
      <c r="F314" s="7"/>
      <c r="G314" s="7"/>
      <c r="H314" s="7"/>
      <c r="I314" s="7"/>
      <c r="J314" s="7"/>
      <c r="K314">
        <v>1</v>
      </c>
    </row>
    <row r="315" spans="1:11" ht="12.75" x14ac:dyDescent="0.2">
      <c r="A315">
        <v>314</v>
      </c>
      <c r="B315" s="6" t="s">
        <v>1093</v>
      </c>
      <c r="C315" s="6" t="s">
        <v>1094</v>
      </c>
      <c r="D315" s="6" t="s">
        <v>1092</v>
      </c>
      <c r="E315" s="7"/>
      <c r="F315" s="7"/>
      <c r="G315" s="7"/>
      <c r="H315" s="7"/>
      <c r="I315" s="7"/>
      <c r="J315" s="7"/>
      <c r="K315">
        <v>1</v>
      </c>
    </row>
    <row r="316" spans="1:11" ht="12.75" x14ac:dyDescent="0.2">
      <c r="A316">
        <v>315</v>
      </c>
      <c r="B316" s="6" t="s">
        <v>1096</v>
      </c>
      <c r="C316" s="6" t="s">
        <v>1097</v>
      </c>
      <c r="D316" s="6" t="s">
        <v>1095</v>
      </c>
      <c r="E316" s="7"/>
      <c r="F316" s="7"/>
      <c r="G316" s="7"/>
      <c r="H316" s="7"/>
      <c r="I316" s="7"/>
      <c r="J316" s="7"/>
      <c r="K316">
        <v>1</v>
      </c>
    </row>
    <row r="317" spans="1:11" ht="12.75" x14ac:dyDescent="0.2">
      <c r="A317">
        <v>316</v>
      </c>
      <c r="B317" s="6" t="s">
        <v>1099</v>
      </c>
      <c r="C317" s="6" t="s">
        <v>1100</v>
      </c>
      <c r="D317" s="6" t="s">
        <v>1098</v>
      </c>
      <c r="E317" s="8" t="str">
        <f>HYPERLINK("https://twitter.com/DraXsiS_Rocker","@DraXsiS_Rocker")</f>
        <v>@DraXsiS_Rocker</v>
      </c>
      <c r="F317" s="8" t="str">
        <f>HYPERLINK("http://instagram.com/draxsis_rocker","@DraXsiS_Rocker")</f>
        <v>@DraXsiS_Rocker</v>
      </c>
      <c r="G317" s="6" t="s">
        <v>1102</v>
      </c>
      <c r="H317" s="6" t="s">
        <v>1101</v>
      </c>
      <c r="I317" s="6" t="s">
        <v>1103</v>
      </c>
      <c r="J317" s="7"/>
      <c r="K317">
        <v>1</v>
      </c>
    </row>
    <row r="318" spans="1:11" ht="12.75" x14ac:dyDescent="0.2">
      <c r="A318">
        <v>317</v>
      </c>
      <c r="B318" s="6" t="s">
        <v>1105</v>
      </c>
      <c r="C318" s="6" t="s">
        <v>1106</v>
      </c>
      <c r="D318" s="6" t="s">
        <v>1104</v>
      </c>
      <c r="E318" s="8" t="str">
        <f>HYPERLINK("https://twitter.com/matmonsterk","@matmonsterk")</f>
        <v>@matmonsterk</v>
      </c>
      <c r="F318" s="8" t="str">
        <f>HYPERLINK("http://instagram.com/matmonsterk","@matmonsterk")</f>
        <v>@matmonsterk</v>
      </c>
      <c r="G318" s="6" t="s">
        <v>1108</v>
      </c>
      <c r="H318" s="6" t="s">
        <v>1107</v>
      </c>
      <c r="I318" s="7"/>
      <c r="J318" s="7"/>
      <c r="K318">
        <v>1</v>
      </c>
    </row>
    <row r="319" spans="1:11" ht="12.75" x14ac:dyDescent="0.2">
      <c r="A319">
        <v>318</v>
      </c>
      <c r="B319" s="6" t="s">
        <v>1110</v>
      </c>
      <c r="C319" s="6" t="s">
        <v>1111</v>
      </c>
      <c r="D319" s="6" t="s">
        <v>1109</v>
      </c>
      <c r="E319" s="7"/>
      <c r="F319" s="7"/>
      <c r="G319" s="7"/>
      <c r="H319" s="7"/>
      <c r="I319" s="7"/>
      <c r="J319" s="7"/>
      <c r="K319">
        <v>1</v>
      </c>
    </row>
    <row r="320" spans="1:11" ht="12.75" x14ac:dyDescent="0.2">
      <c r="A320">
        <v>319</v>
      </c>
      <c r="B320" s="6" t="s">
        <v>1113</v>
      </c>
      <c r="C320" s="6" t="s">
        <v>1114</v>
      </c>
      <c r="D320" s="6" t="s">
        <v>1112</v>
      </c>
      <c r="E320" s="8" t="str">
        <f>HYPERLINK("https://twitter.com/Meaty_OZ","@Meaty_oz")</f>
        <v>@Meaty_oz</v>
      </c>
      <c r="F320" s="8" t="str">
        <f>HYPERLINK("http://instagram.com/Meaty_oz","@Meaty_oz")</f>
        <v>@Meaty_oz</v>
      </c>
      <c r="G320" s="6" t="s">
        <v>1116</v>
      </c>
      <c r="H320" s="6" t="s">
        <v>1115</v>
      </c>
      <c r="I320" s="7"/>
      <c r="J320" s="7"/>
      <c r="K320">
        <v>1</v>
      </c>
    </row>
    <row r="321" spans="1:11" ht="12.75" x14ac:dyDescent="0.2">
      <c r="A321">
        <v>320</v>
      </c>
      <c r="B321" s="6" t="s">
        <v>1118</v>
      </c>
      <c r="C321" s="6" t="s">
        <v>1119</v>
      </c>
      <c r="D321" s="6" t="s">
        <v>1117</v>
      </c>
      <c r="E321" s="7"/>
      <c r="F321" s="7"/>
      <c r="G321" s="7"/>
      <c r="H321" s="7"/>
      <c r="I321" s="7"/>
      <c r="J321" s="7"/>
      <c r="K321">
        <v>1</v>
      </c>
    </row>
    <row r="322" spans="1:11" ht="12.75" x14ac:dyDescent="0.2">
      <c r="A322">
        <v>321</v>
      </c>
      <c r="B322" s="6" t="s">
        <v>1121</v>
      </c>
      <c r="C322" s="6" t="s">
        <v>1122</v>
      </c>
      <c r="D322" s="6" t="s">
        <v>1120</v>
      </c>
      <c r="E322" s="7"/>
      <c r="F322" s="7"/>
      <c r="G322" s="7"/>
      <c r="H322" s="7"/>
      <c r="I322" s="7"/>
      <c r="J322" s="7"/>
      <c r="K322">
        <v>1</v>
      </c>
    </row>
    <row r="323" spans="1:11" ht="12.75" x14ac:dyDescent="0.2">
      <c r="A323">
        <v>322</v>
      </c>
      <c r="B323" s="6" t="s">
        <v>1124</v>
      </c>
      <c r="C323" s="6" t="s">
        <v>1125</v>
      </c>
      <c r="D323" s="6" t="s">
        <v>1123</v>
      </c>
      <c r="E323" s="7"/>
      <c r="F323" s="7"/>
      <c r="G323" s="7"/>
      <c r="H323" s="7"/>
      <c r="I323" s="7"/>
      <c r="J323" s="7"/>
      <c r="K323">
        <v>1</v>
      </c>
    </row>
    <row r="324" spans="1:11" ht="12.75" x14ac:dyDescent="0.2">
      <c r="A324">
        <v>323</v>
      </c>
      <c r="B324" s="6" t="s">
        <v>1127</v>
      </c>
      <c r="C324" s="6" t="s">
        <v>1128</v>
      </c>
      <c r="D324" s="6" t="s">
        <v>1126</v>
      </c>
      <c r="E324" s="7"/>
      <c r="F324" s="7"/>
      <c r="G324" s="6" t="s">
        <v>1130</v>
      </c>
      <c r="H324" s="6" t="s">
        <v>1129</v>
      </c>
      <c r="I324" s="7"/>
      <c r="J324" s="7"/>
      <c r="K324">
        <v>1</v>
      </c>
    </row>
    <row r="325" spans="1:11" ht="12.75" x14ac:dyDescent="0.2">
      <c r="A325">
        <v>324</v>
      </c>
      <c r="B325" s="6" t="s">
        <v>1132</v>
      </c>
      <c r="C325" s="6" t="s">
        <v>1133</v>
      </c>
      <c r="D325" s="6" t="s">
        <v>1131</v>
      </c>
      <c r="E325" s="7"/>
      <c r="F325" s="7"/>
      <c r="G325" s="7"/>
      <c r="H325" s="7"/>
      <c r="I325" s="7"/>
      <c r="J325" s="7"/>
      <c r="K325">
        <v>1</v>
      </c>
    </row>
    <row r="326" spans="1:11" ht="12.75" x14ac:dyDescent="0.2">
      <c r="A326">
        <v>325</v>
      </c>
      <c r="B326" s="6" t="s">
        <v>1135</v>
      </c>
      <c r="C326" s="6" t="s">
        <v>1136</v>
      </c>
      <c r="D326" s="6" t="s">
        <v>1134</v>
      </c>
      <c r="E326" s="7"/>
      <c r="F326" s="7"/>
      <c r="G326" s="7"/>
      <c r="H326" s="7"/>
      <c r="I326" s="7"/>
      <c r="J326" s="7"/>
      <c r="K326">
        <v>1</v>
      </c>
    </row>
    <row r="327" spans="1:11" ht="12.75" x14ac:dyDescent="0.2">
      <c r="A327">
        <v>326</v>
      </c>
      <c r="B327" s="6" t="s">
        <v>1138</v>
      </c>
      <c r="C327" s="6" t="s">
        <v>1139</v>
      </c>
      <c r="D327" s="6" t="s">
        <v>1137</v>
      </c>
      <c r="E327" s="8" t="str">
        <f>HYPERLINK("https://twitter.com/bigmig214","@bigmig214")</f>
        <v>@bigmig214</v>
      </c>
      <c r="F327" s="8" t="str">
        <f>HYPERLINK("http://instagram.com/bigmig214","@bigmig214")</f>
        <v>@bigmig214</v>
      </c>
      <c r="G327" s="6" t="s">
        <v>1141</v>
      </c>
      <c r="H327" s="6" t="s">
        <v>1140</v>
      </c>
      <c r="I327" s="7"/>
      <c r="J327" s="7"/>
      <c r="K327">
        <v>1</v>
      </c>
    </row>
    <row r="328" spans="1:11" ht="12.75" x14ac:dyDescent="0.2">
      <c r="A328">
        <v>327</v>
      </c>
      <c r="B328" s="6" t="s">
        <v>1143</v>
      </c>
      <c r="C328" s="6" t="s">
        <v>1144</v>
      </c>
      <c r="D328" s="6" t="s">
        <v>1142</v>
      </c>
      <c r="E328" s="7"/>
      <c r="F328" s="7"/>
      <c r="G328" s="7"/>
      <c r="H328" s="7"/>
      <c r="I328" s="7"/>
      <c r="J328" s="7"/>
      <c r="K328">
        <v>1</v>
      </c>
    </row>
    <row r="329" spans="1:11" ht="12.75" x14ac:dyDescent="0.2">
      <c r="A329">
        <v>328</v>
      </c>
      <c r="B329" s="6" t="s">
        <v>1146</v>
      </c>
      <c r="C329" s="6"/>
      <c r="D329" s="6" t="s">
        <v>1145</v>
      </c>
      <c r="E329" s="8" t="str">
        <f>HYPERLINK("https://twitter.com/mike_in_canada","@Mike_In_Canada")</f>
        <v>@Mike_In_Canada</v>
      </c>
      <c r="F329" s="8" t="str">
        <f>HYPERLINK("http://instagram.com/MikeInCanada_","@MikeInCanada_")</f>
        <v>@MikeInCanada_</v>
      </c>
      <c r="G329" s="6" t="s">
        <v>1148</v>
      </c>
      <c r="H329" s="6" t="s">
        <v>1147</v>
      </c>
      <c r="I329" s="6" t="s">
        <v>1149</v>
      </c>
      <c r="J329" s="7"/>
      <c r="K329">
        <v>1</v>
      </c>
    </row>
    <row r="330" spans="1:11" ht="12.75" x14ac:dyDescent="0.2">
      <c r="A330">
        <v>329</v>
      </c>
      <c r="B330" s="6" t="s">
        <v>1151</v>
      </c>
      <c r="C330" s="6" t="s">
        <v>1152</v>
      </c>
      <c r="D330" s="6" t="s">
        <v>1150</v>
      </c>
      <c r="E330" s="7"/>
      <c r="F330" s="7"/>
      <c r="G330" s="7"/>
      <c r="H330" s="7"/>
      <c r="I330" s="7"/>
      <c r="J330" s="7"/>
      <c r="K330">
        <v>1</v>
      </c>
    </row>
    <row r="331" spans="1:11" ht="12.75" x14ac:dyDescent="0.2">
      <c r="A331">
        <v>330</v>
      </c>
      <c r="B331" s="6" t="s">
        <v>1154</v>
      </c>
      <c r="C331" s="6" t="s">
        <v>1155</v>
      </c>
      <c r="D331" s="6" t="s">
        <v>1153</v>
      </c>
      <c r="E331" s="8" t="str">
        <f>HYPERLINK("https://twitter.com/ridewithtim","@ridewithtim")</f>
        <v>@ridewithtim</v>
      </c>
      <c r="F331" s="8" t="str">
        <f>HYPERLINK("http://instagram.com/ridewithtim","@ridewithtim")</f>
        <v>@ridewithtim</v>
      </c>
      <c r="G331" s="7"/>
      <c r="H331" s="6" t="s">
        <v>1156</v>
      </c>
      <c r="I331" s="6" t="s">
        <v>1157</v>
      </c>
      <c r="J331" s="7"/>
      <c r="K331">
        <v>1</v>
      </c>
    </row>
    <row r="332" spans="1:11" ht="12.75" x14ac:dyDescent="0.2">
      <c r="A332">
        <v>331</v>
      </c>
      <c r="B332" s="6" t="s">
        <v>1159</v>
      </c>
      <c r="C332" s="6" t="s">
        <v>1160</v>
      </c>
      <c r="D332" s="6" t="s">
        <v>1158</v>
      </c>
      <c r="E332" s="7"/>
      <c r="F332" s="7"/>
      <c r="G332" s="7"/>
      <c r="H332" s="7"/>
      <c r="I332" s="7"/>
      <c r="J332" s="7"/>
      <c r="K332">
        <v>1</v>
      </c>
    </row>
    <row r="333" spans="1:11" ht="12.75" x14ac:dyDescent="0.2">
      <c r="A333">
        <v>332</v>
      </c>
      <c r="B333" s="6" t="s">
        <v>1162</v>
      </c>
      <c r="C333" s="6" t="s">
        <v>1163</v>
      </c>
      <c r="D333" s="6" t="s">
        <v>1161</v>
      </c>
      <c r="E333" s="7"/>
      <c r="F333" s="7"/>
      <c r="G333" s="7"/>
      <c r="H333" s="7"/>
      <c r="I333" s="7"/>
      <c r="J333" s="7"/>
      <c r="K333">
        <v>1</v>
      </c>
    </row>
    <row r="334" spans="1:11" ht="12.75" x14ac:dyDescent="0.2">
      <c r="A334">
        <v>333</v>
      </c>
      <c r="B334" s="6" t="s">
        <v>1165</v>
      </c>
      <c r="C334" s="6" t="s">
        <v>1166</v>
      </c>
      <c r="D334" s="6" t="s">
        <v>1164</v>
      </c>
      <c r="E334" s="7"/>
      <c r="F334" s="8" t="str">
        <f>HYPERLINK("http://instagram.com/jared2207","@jared2207")</f>
        <v>@jared2207</v>
      </c>
      <c r="G334" s="7"/>
      <c r="H334" s="6" t="s">
        <v>1167</v>
      </c>
      <c r="I334" s="6" t="s">
        <v>1168</v>
      </c>
      <c r="J334" s="7"/>
      <c r="K334">
        <v>1</v>
      </c>
    </row>
    <row r="335" spans="1:11" ht="12.75" x14ac:dyDescent="0.2">
      <c r="A335">
        <v>334</v>
      </c>
      <c r="B335" s="6" t="s">
        <v>1170</v>
      </c>
      <c r="C335" s="6" t="s">
        <v>1171</v>
      </c>
      <c r="D335" s="6" t="s">
        <v>1169</v>
      </c>
      <c r="E335" s="7"/>
      <c r="F335" s="7"/>
      <c r="G335" s="7"/>
      <c r="H335" s="7"/>
      <c r="I335" s="7"/>
      <c r="J335" s="7"/>
      <c r="K335">
        <v>1</v>
      </c>
    </row>
    <row r="336" spans="1:11" ht="12.75" x14ac:dyDescent="0.2">
      <c r="A336">
        <v>335</v>
      </c>
      <c r="B336" s="6" t="s">
        <v>1173</v>
      </c>
      <c r="C336" s="6" t="s">
        <v>1174</v>
      </c>
      <c r="D336" s="6" t="s">
        <v>1172</v>
      </c>
      <c r="E336" s="7"/>
      <c r="F336" s="7"/>
      <c r="G336" s="7"/>
      <c r="H336" s="7"/>
      <c r="I336" s="7"/>
      <c r="J336" s="7"/>
      <c r="K336">
        <v>1</v>
      </c>
    </row>
    <row r="337" spans="1:11" ht="12.75" x14ac:dyDescent="0.2">
      <c r="A337">
        <v>336</v>
      </c>
      <c r="B337" s="6" t="s">
        <v>1176</v>
      </c>
      <c r="C337" s="6" t="s">
        <v>1177</v>
      </c>
      <c r="D337" s="6" t="s">
        <v>1175</v>
      </c>
      <c r="E337" s="8" t="str">
        <f>HYPERLINK("https://twitter.com/McKaI86","@McKai86")</f>
        <v>@McKai86</v>
      </c>
      <c r="F337" s="7"/>
      <c r="G337" s="6" t="s">
        <v>1179</v>
      </c>
      <c r="H337" s="6" t="s">
        <v>1178</v>
      </c>
      <c r="I337" s="7"/>
      <c r="J337" s="7"/>
      <c r="K337">
        <v>1</v>
      </c>
    </row>
    <row r="338" spans="1:11" ht="12.75" x14ac:dyDescent="0.2">
      <c r="A338">
        <v>337</v>
      </c>
      <c r="B338" s="6" t="s">
        <v>1181</v>
      </c>
      <c r="C338" s="6" t="s">
        <v>1182</v>
      </c>
      <c r="D338" s="6" t="s">
        <v>1180</v>
      </c>
      <c r="E338" s="7"/>
      <c r="F338" s="7"/>
      <c r="G338" s="7"/>
      <c r="H338" s="7"/>
      <c r="I338" s="7"/>
      <c r="J338" s="7"/>
      <c r="K338">
        <v>1</v>
      </c>
    </row>
    <row r="339" spans="1:11" ht="12.75" x14ac:dyDescent="0.2">
      <c r="A339">
        <v>338</v>
      </c>
      <c r="B339" s="6" t="s">
        <v>1184</v>
      </c>
      <c r="C339" s="6" t="s">
        <v>1185</v>
      </c>
      <c r="D339" s="6" t="s">
        <v>1183</v>
      </c>
      <c r="E339" s="8" t="str">
        <f>HYPERLINK("https://twitter.com/Bourne_Paige","@Bourne_Paige")</f>
        <v>@Bourne_Paige</v>
      </c>
      <c r="F339" s="8" t="str">
        <f>HYPERLINK("http://instagram.com/bourne_paige","@Bourne_Paige")</f>
        <v>@Bourne_Paige</v>
      </c>
      <c r="G339" s="6" t="s">
        <v>1186</v>
      </c>
      <c r="H339" s="7"/>
      <c r="I339" s="7"/>
      <c r="J339" s="7"/>
      <c r="K339">
        <v>1</v>
      </c>
    </row>
    <row r="340" spans="1:11" ht="12.75" x14ac:dyDescent="0.2">
      <c r="A340">
        <v>339</v>
      </c>
      <c r="B340" s="6" t="s">
        <v>1188</v>
      </c>
      <c r="C340" s="6" t="s">
        <v>1189</v>
      </c>
      <c r="D340" s="6" t="s">
        <v>1187</v>
      </c>
      <c r="E340" s="8" t="str">
        <f>HYPERLINK("https://twitter.com/Bafsnow","@bafsnow")</f>
        <v>@bafsnow</v>
      </c>
      <c r="F340" s="8" t="str">
        <f>HYPERLINK("http://instagram.com/b.a.f.snow","@b.a.f.snow")</f>
        <v>@b.a.f.snow</v>
      </c>
      <c r="G340" s="7"/>
      <c r="H340" s="6" t="s">
        <v>1190</v>
      </c>
      <c r="I340" s="7"/>
      <c r="J340" s="7"/>
      <c r="K340">
        <v>1</v>
      </c>
    </row>
    <row r="341" spans="1:11" ht="12.75" x14ac:dyDescent="0.2">
      <c r="A341">
        <v>340</v>
      </c>
      <c r="B341" s="6" t="s">
        <v>1192</v>
      </c>
      <c r="C341" s="6" t="s">
        <v>1193</v>
      </c>
      <c r="D341" s="6" t="s">
        <v>1191</v>
      </c>
      <c r="E341" s="7"/>
      <c r="F341" s="7"/>
      <c r="G341" s="7"/>
      <c r="H341" s="7"/>
      <c r="I341" s="7"/>
      <c r="J341" s="7"/>
      <c r="K341">
        <v>1</v>
      </c>
    </row>
    <row r="342" spans="1:11" ht="12.75" x14ac:dyDescent="0.2">
      <c r="A342">
        <v>341</v>
      </c>
      <c r="B342" s="6" t="s">
        <v>1195</v>
      </c>
      <c r="C342" s="6" t="s">
        <v>1196</v>
      </c>
      <c r="D342" s="6" t="s">
        <v>1194</v>
      </c>
      <c r="E342" s="7"/>
      <c r="F342" s="7"/>
      <c r="G342" s="7"/>
      <c r="H342" s="7"/>
      <c r="I342" s="7"/>
      <c r="J342" s="7"/>
      <c r="K342">
        <v>1</v>
      </c>
    </row>
    <row r="343" spans="1:11" ht="12.75" x14ac:dyDescent="0.2">
      <c r="A343">
        <v>342</v>
      </c>
      <c r="B343" s="6" t="s">
        <v>1198</v>
      </c>
      <c r="C343" s="6" t="s">
        <v>1199</v>
      </c>
      <c r="D343" s="6" t="s">
        <v>1197</v>
      </c>
      <c r="E343" s="7"/>
      <c r="F343" s="7"/>
      <c r="G343" s="7"/>
      <c r="H343" s="7"/>
      <c r="I343" s="7"/>
      <c r="J343" s="7"/>
      <c r="K343">
        <v>1</v>
      </c>
    </row>
    <row r="344" spans="1:11" ht="12.75" x14ac:dyDescent="0.2">
      <c r="A344">
        <v>343</v>
      </c>
      <c r="B344" s="6" t="s">
        <v>1201</v>
      </c>
      <c r="C344" s="6" t="s">
        <v>1202</v>
      </c>
      <c r="D344" s="6" t="s">
        <v>1200</v>
      </c>
      <c r="E344" s="7"/>
      <c r="F344" s="7"/>
      <c r="G344" s="7"/>
      <c r="H344" s="7"/>
      <c r="I344" s="7"/>
      <c r="J344" s="7"/>
      <c r="K344">
        <v>1</v>
      </c>
    </row>
    <row r="345" spans="1:11" ht="12.75" x14ac:dyDescent="0.2">
      <c r="A345">
        <v>344</v>
      </c>
      <c r="B345" s="6" t="s">
        <v>1204</v>
      </c>
      <c r="C345" s="6" t="s">
        <v>1205</v>
      </c>
      <c r="D345" s="6" t="s">
        <v>1203</v>
      </c>
      <c r="E345" s="7"/>
      <c r="F345" s="7"/>
      <c r="G345" s="7"/>
      <c r="H345" s="7"/>
      <c r="I345" s="7"/>
      <c r="J345" s="7"/>
      <c r="K345">
        <v>1</v>
      </c>
    </row>
    <row r="346" spans="1:11" ht="12.75" x14ac:dyDescent="0.2">
      <c r="A346">
        <v>345</v>
      </c>
      <c r="B346" s="6" t="s">
        <v>1207</v>
      </c>
      <c r="C346" s="6" t="s">
        <v>1208</v>
      </c>
      <c r="D346" s="6" t="s">
        <v>1206</v>
      </c>
      <c r="E346" s="7"/>
      <c r="F346" s="7"/>
      <c r="G346" s="6" t="s">
        <v>1210</v>
      </c>
      <c r="H346" s="6" t="s">
        <v>1209</v>
      </c>
      <c r="I346" s="7"/>
      <c r="J346" s="7"/>
      <c r="K346">
        <v>1</v>
      </c>
    </row>
    <row r="347" spans="1:11" ht="12.75" x14ac:dyDescent="0.2">
      <c r="A347">
        <v>346</v>
      </c>
      <c r="B347" s="6" t="s">
        <v>1212</v>
      </c>
      <c r="C347" s="6" t="s">
        <v>1213</v>
      </c>
      <c r="D347" s="6" t="s">
        <v>1211</v>
      </c>
      <c r="E347" s="8" t="str">
        <f>HYPERLINK("https://twitter.com/Rossetti702","@Rossetti702")</f>
        <v>@Rossetti702</v>
      </c>
      <c r="F347" s="7"/>
      <c r="G347" s="7"/>
      <c r="H347" s="6" t="s">
        <v>1214</v>
      </c>
      <c r="I347" s="6" t="s">
        <v>1215</v>
      </c>
      <c r="J347" s="7"/>
      <c r="K347">
        <v>1</v>
      </c>
    </row>
    <row r="348" spans="1:11" ht="12.75" x14ac:dyDescent="0.2">
      <c r="A348">
        <v>347</v>
      </c>
      <c r="B348" s="6" t="s">
        <v>1217</v>
      </c>
      <c r="C348" s="6" t="s">
        <v>1218</v>
      </c>
      <c r="D348" s="6" t="s">
        <v>1216</v>
      </c>
      <c r="E348" s="8" t="str">
        <f>HYPERLINK("https://twitter.com/Edgell59_Ethan","@Edgell59_Ethan")</f>
        <v>@Edgell59_Ethan</v>
      </c>
      <c r="F348" s="8" t="str">
        <f>HYPERLINK("http://instagram.com/ninjaflyingedgell","@ninjaflyingedgell")</f>
        <v>@ninjaflyingedgell</v>
      </c>
      <c r="G348" s="7"/>
      <c r="H348" s="6" t="s">
        <v>1219</v>
      </c>
      <c r="I348" s="7"/>
      <c r="J348" s="7"/>
      <c r="K348">
        <v>1</v>
      </c>
    </row>
    <row r="349" spans="1:11" ht="12.75" x14ac:dyDescent="0.2">
      <c r="A349">
        <v>348</v>
      </c>
      <c r="B349" s="6" t="s">
        <v>1221</v>
      </c>
      <c r="C349" s="6" t="s">
        <v>1222</v>
      </c>
      <c r="D349" s="6" t="s">
        <v>1220</v>
      </c>
      <c r="E349" s="8" t="str">
        <f>HYPERLINK("https://twitter.com/AmeralReid","@ameralreid")</f>
        <v>@ameralreid</v>
      </c>
      <c r="F349" s="8" t="str">
        <f>HYPERLINK("http://instagram.com/amy_nipplopolis","@amy_nipplopolis")</f>
        <v>@amy_nipplopolis</v>
      </c>
      <c r="G349" s="6" t="s">
        <v>1224</v>
      </c>
      <c r="H349" s="6" t="s">
        <v>1223</v>
      </c>
      <c r="I349" s="6" t="s">
        <v>1225</v>
      </c>
      <c r="J349" s="7"/>
      <c r="K349">
        <v>1</v>
      </c>
    </row>
    <row r="350" spans="1:11" ht="12.75" x14ac:dyDescent="0.2">
      <c r="A350">
        <v>349</v>
      </c>
      <c r="B350" s="6" t="s">
        <v>1227</v>
      </c>
      <c r="C350" s="6" t="s">
        <v>1228</v>
      </c>
      <c r="D350" s="6" t="s">
        <v>1226</v>
      </c>
      <c r="E350" s="7"/>
      <c r="F350" s="7"/>
      <c r="G350" s="7"/>
      <c r="H350" s="7"/>
      <c r="I350" s="7"/>
      <c r="J350" s="7"/>
      <c r="K350">
        <v>1</v>
      </c>
    </row>
    <row r="351" spans="1:11" ht="12.75" x14ac:dyDescent="0.2">
      <c r="A351">
        <v>350</v>
      </c>
      <c r="B351" s="6" t="s">
        <v>1230</v>
      </c>
      <c r="C351" s="6" t="s">
        <v>1231</v>
      </c>
      <c r="D351" s="6" t="s">
        <v>1229</v>
      </c>
      <c r="E351" s="7"/>
      <c r="F351" s="7"/>
      <c r="G351" s="7"/>
      <c r="H351" s="7"/>
      <c r="I351" s="7"/>
      <c r="J351" s="7"/>
      <c r="K351">
        <v>1</v>
      </c>
    </row>
    <row r="352" spans="1:11" ht="12.75" x14ac:dyDescent="0.2">
      <c r="A352">
        <v>351</v>
      </c>
      <c r="B352" s="6" t="s">
        <v>1233</v>
      </c>
      <c r="C352" s="6" t="s">
        <v>1234</v>
      </c>
      <c r="D352" s="6" t="s">
        <v>1232</v>
      </c>
      <c r="E352" s="7"/>
      <c r="F352" s="7"/>
      <c r="G352" s="7"/>
      <c r="H352" s="7"/>
      <c r="I352" s="7"/>
      <c r="J352" s="7"/>
      <c r="K352">
        <v>1</v>
      </c>
    </row>
    <row r="353" spans="1:11" ht="12.75" x14ac:dyDescent="0.2">
      <c r="A353">
        <v>352</v>
      </c>
      <c r="B353" s="6" t="s">
        <v>1236</v>
      </c>
      <c r="C353" s="6" t="s">
        <v>1237</v>
      </c>
      <c r="D353" s="6" t="s">
        <v>1235</v>
      </c>
      <c r="E353" s="8" t="str">
        <f>HYPERLINK("https://twitter.com/DJM16","@DJM16")</f>
        <v>@DJM16</v>
      </c>
      <c r="F353" s="8" t="str">
        <f>HYPERLINK("http://instagram.com/emsixtene","@EMSIXTENE")</f>
        <v>@EMSIXTENE</v>
      </c>
      <c r="G353" s="7"/>
      <c r="H353" s="6" t="s">
        <v>1238</v>
      </c>
      <c r="I353" s="7"/>
      <c r="J353" s="7"/>
      <c r="K353">
        <v>1</v>
      </c>
    </row>
    <row r="354" spans="1:11" ht="12.75" x14ac:dyDescent="0.2">
      <c r="A354">
        <v>353</v>
      </c>
      <c r="B354" s="6" t="s">
        <v>1240</v>
      </c>
      <c r="C354" s="6" t="s">
        <v>1241</v>
      </c>
      <c r="D354" s="6" t="s">
        <v>1239</v>
      </c>
      <c r="E354" s="8" t="str">
        <f>HYPERLINK("https://twitter.com/J_GRAY1","@J_GRAY1")</f>
        <v>@J_GRAY1</v>
      </c>
      <c r="F354" s="8" t="str">
        <f>HYPERLINK("http://instagram.com/shade_of_gray","@shade_of_gray")</f>
        <v>@shade_of_gray</v>
      </c>
      <c r="G354" s="6" t="s">
        <v>1243</v>
      </c>
      <c r="H354" s="6" t="s">
        <v>1242</v>
      </c>
      <c r="I354" s="7"/>
      <c r="J354" s="7"/>
      <c r="K354">
        <v>1</v>
      </c>
    </row>
    <row r="355" spans="1:11" ht="12.75" x14ac:dyDescent="0.2">
      <c r="A355">
        <v>354</v>
      </c>
      <c r="B355" s="6" t="s">
        <v>1245</v>
      </c>
      <c r="C355" s="6" t="s">
        <v>1246</v>
      </c>
      <c r="D355" s="6" t="s">
        <v>1244</v>
      </c>
      <c r="E355" s="8" t="str">
        <f>HYPERLINK("https://twitter.com/Saveit4thewar","@saveit4thewar")</f>
        <v>@saveit4thewar</v>
      </c>
      <c r="F355" s="8" t="str">
        <f>HYPERLINK("http://instagram.com/delahoya_rds","@delahoya_rds")</f>
        <v>@delahoya_rds</v>
      </c>
      <c r="G355" s="7"/>
      <c r="H355" s="6" t="s">
        <v>1247</v>
      </c>
      <c r="I355" s="7"/>
      <c r="J355" s="7"/>
      <c r="K355">
        <v>1</v>
      </c>
    </row>
    <row r="356" spans="1:11" ht="12.75" x14ac:dyDescent="0.2">
      <c r="A356">
        <v>355</v>
      </c>
      <c r="B356" s="6" t="s">
        <v>1249</v>
      </c>
      <c r="C356" s="6" t="s">
        <v>1250</v>
      </c>
      <c r="D356" s="6" t="s">
        <v>1248</v>
      </c>
      <c r="E356" s="8" t="str">
        <f>HYPERLINK("https://twitter.com/Jeff_H8R","@Jeff_H8R")</f>
        <v>@Jeff_H8R</v>
      </c>
      <c r="F356" s="8" t="str">
        <f>HYPERLINK("http://instagram.com/overgrownseamonkey","@overgrownseamonkey")</f>
        <v>@overgrownseamonkey</v>
      </c>
      <c r="G356" s="7"/>
      <c r="H356" s="6" t="s">
        <v>1251</v>
      </c>
      <c r="I356" s="7"/>
      <c r="J356" s="7"/>
      <c r="K356">
        <v>1</v>
      </c>
    </row>
    <row r="357" spans="1:11" ht="12.75" x14ac:dyDescent="0.2">
      <c r="A357">
        <v>356</v>
      </c>
      <c r="B357" s="6" t="s">
        <v>1253</v>
      </c>
      <c r="C357" s="6" t="s">
        <v>1254</v>
      </c>
      <c r="D357" s="6" t="s">
        <v>1252</v>
      </c>
      <c r="E357" s="8" t="str">
        <f>HYPERLINK("https://twitter.com/Tarfugaming","@Tarfugaming")</f>
        <v>@Tarfugaming</v>
      </c>
      <c r="F357" s="8" t="str">
        <f>HYPERLINK("http://instagram.com/tarfugaming","@Tarfugaming")</f>
        <v>@Tarfugaming</v>
      </c>
      <c r="G357" s="6" t="s">
        <v>1256</v>
      </c>
      <c r="H357" s="6" t="s">
        <v>1255</v>
      </c>
      <c r="I357" s="7"/>
      <c r="J357" s="7"/>
      <c r="K357">
        <v>1</v>
      </c>
    </row>
    <row r="358" spans="1:11" ht="12.75" x14ac:dyDescent="0.2">
      <c r="A358">
        <v>357</v>
      </c>
      <c r="B358" s="6" t="s">
        <v>1258</v>
      </c>
      <c r="C358" s="6" t="s">
        <v>1259</v>
      </c>
      <c r="D358" s="6" t="s">
        <v>1257</v>
      </c>
      <c r="E358" s="7"/>
      <c r="F358" s="7"/>
      <c r="G358" s="7"/>
      <c r="H358" s="7"/>
      <c r="I358" s="7"/>
      <c r="J358" s="7"/>
      <c r="K358">
        <v>1</v>
      </c>
    </row>
    <row r="359" spans="1:11" ht="12.75" x14ac:dyDescent="0.2">
      <c r="A359">
        <v>358</v>
      </c>
      <c r="B359" s="6" t="s">
        <v>1261</v>
      </c>
      <c r="C359" s="6" t="s">
        <v>1262</v>
      </c>
      <c r="D359" s="6" t="s">
        <v>1260</v>
      </c>
      <c r="E359" s="7"/>
      <c r="F359" s="7"/>
      <c r="G359" s="7"/>
      <c r="H359" s="7"/>
      <c r="I359" s="7"/>
      <c r="J359" s="7"/>
      <c r="K359">
        <v>1</v>
      </c>
    </row>
    <row r="360" spans="1:11" ht="12.75" x14ac:dyDescent="0.2">
      <c r="A360">
        <v>359</v>
      </c>
      <c r="B360" s="6" t="s">
        <v>1264</v>
      </c>
      <c r="C360" s="6" t="s">
        <v>1265</v>
      </c>
      <c r="D360" s="6" t="s">
        <v>1263</v>
      </c>
      <c r="E360" s="7"/>
      <c r="F360" s="7"/>
      <c r="G360" s="7"/>
      <c r="H360" s="7"/>
      <c r="I360" s="7"/>
      <c r="J360" s="7"/>
      <c r="K360">
        <v>1</v>
      </c>
    </row>
    <row r="361" spans="1:11" ht="12.75" x14ac:dyDescent="0.2">
      <c r="A361">
        <v>360</v>
      </c>
      <c r="B361" s="6" t="s">
        <v>1267</v>
      </c>
      <c r="C361" s="6" t="s">
        <v>1268</v>
      </c>
      <c r="D361" s="6" t="s">
        <v>1266</v>
      </c>
      <c r="E361" s="7"/>
      <c r="F361" s="7"/>
      <c r="G361" s="7"/>
      <c r="H361" s="7"/>
      <c r="I361" s="7"/>
      <c r="J361" s="7"/>
      <c r="K361">
        <v>1</v>
      </c>
    </row>
    <row r="362" spans="1:11" ht="12.75" x14ac:dyDescent="0.2">
      <c r="A362">
        <v>361</v>
      </c>
      <c r="B362" s="6" t="s">
        <v>1270</v>
      </c>
      <c r="C362" s="6" t="s">
        <v>1271</v>
      </c>
      <c r="D362" s="6" t="s">
        <v>1269</v>
      </c>
      <c r="E362" s="7"/>
      <c r="F362" s="7"/>
      <c r="G362" s="7"/>
      <c r="H362" s="7"/>
      <c r="I362" s="7"/>
      <c r="J362" s="7"/>
      <c r="K362">
        <v>1</v>
      </c>
    </row>
    <row r="363" spans="1:11" ht="12.75" x14ac:dyDescent="0.2">
      <c r="A363">
        <v>362</v>
      </c>
      <c r="B363" s="6" t="s">
        <v>1273</v>
      </c>
      <c r="C363" s="6" t="s">
        <v>1274</v>
      </c>
      <c r="D363" s="6" t="s">
        <v>1272</v>
      </c>
      <c r="E363" s="8" t="str">
        <f>HYPERLINK("https://twitter.com/lindmaer","@lindmaer")</f>
        <v>@lindmaer</v>
      </c>
      <c r="F363" s="8" t="str">
        <f>HYPERLINK("http://instagram.com/lindmaer","@LINDMAER")</f>
        <v>@LINDMAER</v>
      </c>
      <c r="G363" s="6" t="s">
        <v>1276</v>
      </c>
      <c r="H363" s="6" t="s">
        <v>1275</v>
      </c>
      <c r="I363" s="6" t="s">
        <v>1277</v>
      </c>
      <c r="J363" s="7"/>
      <c r="K363">
        <v>1</v>
      </c>
    </row>
    <row r="364" spans="1:11" ht="12.75" x14ac:dyDescent="0.2">
      <c r="A364">
        <v>363</v>
      </c>
      <c r="B364" s="6" t="s">
        <v>1279</v>
      </c>
      <c r="C364" s="6" t="s">
        <v>1280</v>
      </c>
      <c r="D364" s="6" t="s">
        <v>1278</v>
      </c>
      <c r="E364" s="8" t="str">
        <f>HYPERLINK("https://twitter.com/CWendenburg","@CWendenburg")</f>
        <v>@CWendenburg</v>
      </c>
      <c r="F364" s="8" t="str">
        <f>HYPERLINK("http://instagram.com/taugen","@Taugen")</f>
        <v>@Taugen</v>
      </c>
      <c r="G364" s="7"/>
      <c r="H364" s="6" t="s">
        <v>1281</v>
      </c>
      <c r="I364" s="7"/>
      <c r="J364" s="7"/>
      <c r="K364">
        <v>1</v>
      </c>
    </row>
    <row r="365" spans="1:11" ht="12.75" x14ac:dyDescent="0.2">
      <c r="A365">
        <v>364</v>
      </c>
      <c r="B365" s="6" t="s">
        <v>1283</v>
      </c>
      <c r="C365" s="6" t="s">
        <v>1284</v>
      </c>
      <c r="D365" s="6" t="s">
        <v>1282</v>
      </c>
      <c r="E365" s="7"/>
      <c r="F365" s="7"/>
      <c r="G365" s="7"/>
      <c r="H365" s="7"/>
      <c r="I365" s="7"/>
      <c r="J365" s="7"/>
      <c r="K365">
        <v>1</v>
      </c>
    </row>
    <row r="366" spans="1:11" ht="12.75" x14ac:dyDescent="0.2">
      <c r="A366">
        <v>365</v>
      </c>
      <c r="B366" s="6" t="s">
        <v>1286</v>
      </c>
      <c r="C366" s="6" t="s">
        <v>1287</v>
      </c>
      <c r="D366" s="6" t="s">
        <v>1285</v>
      </c>
      <c r="E366" s="7"/>
      <c r="F366" s="7"/>
      <c r="G366" s="7"/>
      <c r="H366" s="7"/>
      <c r="I366" s="7"/>
      <c r="J366" s="7"/>
      <c r="K366">
        <v>1</v>
      </c>
    </row>
    <row r="367" spans="1:11" ht="12.75" x14ac:dyDescent="0.2">
      <c r="A367">
        <v>366</v>
      </c>
      <c r="B367" s="6" t="s">
        <v>1289</v>
      </c>
      <c r="C367" s="6" t="s">
        <v>1290</v>
      </c>
      <c r="D367" s="6" t="s">
        <v>1288</v>
      </c>
      <c r="E367" s="8" t="str">
        <f>HYPERLINK("https://twitter.com/need_rehab","@need_rehab")</f>
        <v>@need_rehab</v>
      </c>
      <c r="F367" s="8" t="str">
        <f>HYPERLINK("http://instagram.com/alberthiaume","@alberthiaume")</f>
        <v>@alberthiaume</v>
      </c>
      <c r="G367" s="7"/>
      <c r="H367" s="15" t="s">
        <v>1291</v>
      </c>
      <c r="I367" s="7"/>
      <c r="J367" s="7"/>
      <c r="K367">
        <v>1</v>
      </c>
    </row>
    <row r="368" spans="1:11" ht="12.75" x14ac:dyDescent="0.2">
      <c r="A368">
        <v>367</v>
      </c>
      <c r="B368" s="6" t="s">
        <v>1293</v>
      </c>
      <c r="C368" s="6" t="s">
        <v>1294</v>
      </c>
      <c r="D368" s="6" t="s">
        <v>1292</v>
      </c>
      <c r="E368" s="7"/>
      <c r="F368" s="15"/>
      <c r="G368" s="7"/>
      <c r="H368" s="6"/>
      <c r="I368" s="7"/>
      <c r="J368" s="7"/>
      <c r="K368">
        <v>1</v>
      </c>
    </row>
    <row r="369" spans="1:11" ht="12.75" x14ac:dyDescent="0.2">
      <c r="A369">
        <v>368</v>
      </c>
      <c r="B369" s="6" t="s">
        <v>1296</v>
      </c>
      <c r="C369" s="6" t="s">
        <v>1297</v>
      </c>
      <c r="D369" s="6" t="s">
        <v>1295</v>
      </c>
      <c r="E369" s="7"/>
      <c r="F369" s="8" t="str">
        <f>HYPERLINK("http://instagram.com/Philthiest","@philthiest")</f>
        <v>@philthiest</v>
      </c>
      <c r="G369" s="7"/>
      <c r="H369" s="6" t="s">
        <v>1298</v>
      </c>
      <c r="I369" s="7"/>
      <c r="J369" s="7"/>
      <c r="K369">
        <v>1</v>
      </c>
    </row>
    <row r="370" spans="1:11" ht="12.75" x14ac:dyDescent="0.2">
      <c r="A370">
        <v>369</v>
      </c>
      <c r="B370" s="6" t="s">
        <v>1300</v>
      </c>
      <c r="C370" s="6" t="s">
        <v>1301</v>
      </c>
      <c r="D370" s="6" t="s">
        <v>1299</v>
      </c>
      <c r="E370" s="7"/>
      <c r="F370" s="8" t="str">
        <f>HYPERLINK("http://instagram.com/phillybobb","@phillybobb")</f>
        <v>@phillybobb</v>
      </c>
      <c r="G370" s="7"/>
      <c r="H370" s="7"/>
      <c r="I370" s="7"/>
      <c r="J370" s="7"/>
      <c r="K370">
        <v>1</v>
      </c>
    </row>
    <row r="371" spans="1:11" ht="12.75" x14ac:dyDescent="0.2">
      <c r="A371">
        <v>370</v>
      </c>
      <c r="B371" s="6" t="s">
        <v>1303</v>
      </c>
      <c r="C371" s="6" t="s">
        <v>1304</v>
      </c>
      <c r="D371" s="6" t="s">
        <v>1302</v>
      </c>
      <c r="E371" s="7"/>
      <c r="F371" s="7"/>
      <c r="G371" s="7"/>
      <c r="H371" s="7"/>
      <c r="I371" s="7"/>
      <c r="J371" s="7"/>
      <c r="K371">
        <v>1</v>
      </c>
    </row>
    <row r="372" spans="1:11" ht="12.75" x14ac:dyDescent="0.2">
      <c r="A372">
        <v>371</v>
      </c>
      <c r="B372" s="6" t="s">
        <v>1306</v>
      </c>
      <c r="C372" s="6" t="s">
        <v>1307</v>
      </c>
      <c r="D372" s="6" t="s">
        <v>1305</v>
      </c>
      <c r="E372" s="7"/>
      <c r="F372" s="7"/>
      <c r="G372" s="6" t="s">
        <v>1309</v>
      </c>
      <c r="H372" s="6" t="s">
        <v>1308</v>
      </c>
      <c r="I372" s="7"/>
      <c r="J372" s="7"/>
      <c r="K372">
        <v>1</v>
      </c>
    </row>
    <row r="373" spans="1:11" ht="12.75" x14ac:dyDescent="0.2">
      <c r="A373">
        <v>372</v>
      </c>
      <c r="B373" s="6" t="s">
        <v>1311</v>
      </c>
      <c r="C373" s="6" t="s">
        <v>1312</v>
      </c>
      <c r="D373" s="6" t="s">
        <v>1310</v>
      </c>
      <c r="E373" s="7"/>
      <c r="F373" s="7"/>
      <c r="G373" s="7"/>
      <c r="H373" s="7"/>
      <c r="I373" s="7"/>
      <c r="J373" s="7"/>
      <c r="K373">
        <v>1</v>
      </c>
    </row>
    <row r="374" spans="1:11" ht="12.75" x14ac:dyDescent="0.2">
      <c r="A374">
        <v>373</v>
      </c>
      <c r="B374" s="6" t="s">
        <v>1314</v>
      </c>
      <c r="C374" s="6" t="s">
        <v>1315</v>
      </c>
      <c r="D374" s="6" t="s">
        <v>1313</v>
      </c>
      <c r="E374" s="7"/>
      <c r="F374" s="7"/>
      <c r="G374" s="7"/>
      <c r="H374" s="7"/>
      <c r="I374" s="7"/>
      <c r="J374" s="7"/>
      <c r="K374">
        <v>1</v>
      </c>
    </row>
    <row r="375" spans="1:11" ht="12.75" x14ac:dyDescent="0.2">
      <c r="A375">
        <v>374</v>
      </c>
      <c r="B375" s="6" t="s">
        <v>1317</v>
      </c>
      <c r="C375" s="6" t="s">
        <v>1318</v>
      </c>
      <c r="D375" s="6" t="s">
        <v>1316</v>
      </c>
      <c r="E375" s="7"/>
      <c r="F375" s="7"/>
      <c r="G375" s="7"/>
      <c r="H375" s="7"/>
      <c r="I375" s="7"/>
      <c r="J375" s="7"/>
      <c r="K375">
        <v>1</v>
      </c>
    </row>
    <row r="376" spans="1:11" ht="12.75" x14ac:dyDescent="0.2">
      <c r="A376">
        <v>375</v>
      </c>
      <c r="B376" s="6" t="s">
        <v>1320</v>
      </c>
      <c r="C376" s="6" t="s">
        <v>1321</v>
      </c>
      <c r="D376" s="6" t="s">
        <v>1319</v>
      </c>
      <c r="E376" s="7"/>
      <c r="F376" s="7"/>
      <c r="G376" s="7"/>
      <c r="H376" s="7"/>
      <c r="I376" s="7"/>
      <c r="J376" s="7"/>
      <c r="K376">
        <v>1</v>
      </c>
    </row>
    <row r="377" spans="1:11" ht="12.75" x14ac:dyDescent="0.2">
      <c r="A377">
        <v>376</v>
      </c>
      <c r="B377" s="6" t="s">
        <v>1323</v>
      </c>
      <c r="C377" s="6" t="s">
        <v>1324</v>
      </c>
      <c r="D377" s="6" t="s">
        <v>1322</v>
      </c>
      <c r="E377" s="7"/>
      <c r="F377" s="7"/>
      <c r="G377" s="7"/>
      <c r="H377" s="7"/>
      <c r="I377" s="7"/>
      <c r="J377" s="7"/>
      <c r="K377">
        <v>1</v>
      </c>
    </row>
    <row r="378" spans="1:11" ht="12.75" x14ac:dyDescent="0.2">
      <c r="A378">
        <v>377</v>
      </c>
      <c r="B378" s="6" t="s">
        <v>1326</v>
      </c>
      <c r="C378" s="6" t="s">
        <v>1327</v>
      </c>
      <c r="D378" s="6" t="s">
        <v>1325</v>
      </c>
      <c r="E378" s="8" t="str">
        <f>HYPERLINK("https://twitter.com/JasonFromSD","@JasonFromSD")</f>
        <v>@JasonFromSD</v>
      </c>
      <c r="F378" s="8" t="str">
        <f>HYPERLINK("http://instagram.com/jasonbehnke","@JasonBehnke")</f>
        <v>@JasonBehnke</v>
      </c>
      <c r="G378" s="7"/>
      <c r="H378" s="6" t="s">
        <v>1328</v>
      </c>
      <c r="I378" s="7"/>
      <c r="J378" s="7"/>
      <c r="K378">
        <v>1</v>
      </c>
    </row>
    <row r="379" spans="1:11" ht="12.75" x14ac:dyDescent="0.2">
      <c r="A379">
        <v>378</v>
      </c>
      <c r="B379" s="6" t="s">
        <v>1330</v>
      </c>
      <c r="C379" s="6" t="s">
        <v>1331</v>
      </c>
      <c r="D379" s="6" t="s">
        <v>1329</v>
      </c>
      <c r="E379" s="7"/>
      <c r="F379" s="7"/>
      <c r="G379" s="7"/>
      <c r="H379" s="7"/>
      <c r="I379" s="7"/>
      <c r="J379" s="7"/>
      <c r="K379">
        <v>1</v>
      </c>
    </row>
    <row r="380" spans="1:11" ht="12.75" x14ac:dyDescent="0.2">
      <c r="A380">
        <v>379</v>
      </c>
      <c r="B380" s="6" t="s">
        <v>1333</v>
      </c>
      <c r="C380" s="6" t="s">
        <v>1334</v>
      </c>
      <c r="D380" s="6" t="s">
        <v>1332</v>
      </c>
      <c r="E380" s="7"/>
      <c r="F380" s="7"/>
      <c r="G380" s="7"/>
      <c r="H380" s="7"/>
      <c r="I380" s="7"/>
      <c r="J380" s="7"/>
      <c r="K380">
        <v>1</v>
      </c>
    </row>
    <row r="381" spans="1:11" ht="12.75" x14ac:dyDescent="0.2">
      <c r="A381">
        <v>380</v>
      </c>
      <c r="B381" s="6" t="s">
        <v>1336</v>
      </c>
      <c r="C381" s="6" t="s">
        <v>1337</v>
      </c>
      <c r="D381" s="6" t="s">
        <v>1335</v>
      </c>
      <c r="E381" s="8" t="str">
        <f>HYPERLINK("https://twitter.com/wk_PoorBastard","@wk_PoorBastard")</f>
        <v>@wk_PoorBastard</v>
      </c>
      <c r="F381" s="8" t="str">
        <f>HYPERLINK("http://instagram.com/dub97gt","@dub97gt")</f>
        <v>@dub97gt</v>
      </c>
      <c r="G381" s="6" t="s">
        <v>1339</v>
      </c>
      <c r="H381" s="6" t="s">
        <v>1338</v>
      </c>
      <c r="I381" s="7"/>
      <c r="J381" s="7"/>
      <c r="K381">
        <v>1</v>
      </c>
    </row>
    <row r="382" spans="1:11" ht="12.75" x14ac:dyDescent="0.2">
      <c r="A382">
        <v>381</v>
      </c>
      <c r="B382" s="6" t="s">
        <v>1341</v>
      </c>
      <c r="C382" s="6" t="s">
        <v>1342</v>
      </c>
      <c r="D382" s="6" t="s">
        <v>1340</v>
      </c>
      <c r="E382" s="7"/>
      <c r="F382" s="7"/>
      <c r="G382" s="7"/>
      <c r="H382" s="7"/>
      <c r="I382" s="7"/>
      <c r="J382" s="7"/>
      <c r="K382">
        <v>1</v>
      </c>
    </row>
    <row r="383" spans="1:11" ht="12.75" x14ac:dyDescent="0.2">
      <c r="A383">
        <v>382</v>
      </c>
      <c r="B383" s="6" t="s">
        <v>1344</v>
      </c>
      <c r="C383" s="6" t="s">
        <v>1345</v>
      </c>
      <c r="D383" s="6" t="s">
        <v>1343</v>
      </c>
      <c r="E383" s="8" t="str">
        <f>HYPERLINK("https://twitter.com/Walkerman75","@walkerman75")</f>
        <v>@walkerman75</v>
      </c>
      <c r="F383" s="8" t="str">
        <f>HYPERLINK("http://instagram.com/walkerman75","@walkerman75")</f>
        <v>@walkerman75</v>
      </c>
      <c r="G383" s="6" t="s">
        <v>1347</v>
      </c>
      <c r="H383" s="6" t="s">
        <v>1346</v>
      </c>
      <c r="I383" s="7"/>
      <c r="J383" s="7"/>
      <c r="K383">
        <v>1</v>
      </c>
    </row>
    <row r="384" spans="1:11" ht="12.75" x14ac:dyDescent="0.2">
      <c r="A384">
        <v>383</v>
      </c>
      <c r="B384" s="6" t="s">
        <v>1349</v>
      </c>
      <c r="C384" s="6" t="s">
        <v>1350</v>
      </c>
      <c r="D384" s="6" t="s">
        <v>1348</v>
      </c>
      <c r="E384" s="7"/>
      <c r="F384" s="7"/>
      <c r="G384" s="7"/>
      <c r="H384" s="7"/>
      <c r="I384" s="7"/>
      <c r="J384" s="7"/>
      <c r="K384">
        <v>1</v>
      </c>
    </row>
    <row r="385" spans="1:11" ht="12.75" x14ac:dyDescent="0.2">
      <c r="A385">
        <v>384</v>
      </c>
      <c r="B385" s="6" t="s">
        <v>1352</v>
      </c>
      <c r="C385" s="6" t="s">
        <v>1353</v>
      </c>
      <c r="D385" s="6" t="s">
        <v>1351</v>
      </c>
      <c r="E385" s="7"/>
      <c r="F385" s="7"/>
      <c r="G385" s="7"/>
      <c r="H385" s="7"/>
      <c r="I385" s="7"/>
      <c r="J385" s="7"/>
      <c r="K385">
        <v>1</v>
      </c>
    </row>
    <row r="386" spans="1:11" ht="12.75" x14ac:dyDescent="0.2">
      <c r="A386">
        <v>385</v>
      </c>
      <c r="B386" s="6" t="s">
        <v>1355</v>
      </c>
      <c r="C386" s="6" t="s">
        <v>1356</v>
      </c>
      <c r="D386" s="6" t="s">
        <v>1354</v>
      </c>
      <c r="E386" s="7"/>
      <c r="F386" s="7"/>
      <c r="G386" s="7"/>
      <c r="H386" s="7"/>
      <c r="I386" s="7"/>
      <c r="J386" s="7"/>
      <c r="K386">
        <v>1</v>
      </c>
    </row>
    <row r="387" spans="1:11" ht="12.75" x14ac:dyDescent="0.2">
      <c r="A387">
        <v>386</v>
      </c>
      <c r="B387" s="6" t="s">
        <v>1358</v>
      </c>
      <c r="C387" s="6" t="s">
        <v>1359</v>
      </c>
      <c r="D387" s="6" t="s">
        <v>1357</v>
      </c>
      <c r="E387" s="7"/>
      <c r="F387" s="7"/>
      <c r="G387" s="7"/>
      <c r="H387" s="7"/>
      <c r="I387" s="7"/>
      <c r="J387" s="7"/>
      <c r="K387">
        <v>1</v>
      </c>
    </row>
    <row r="388" spans="1:11" ht="12.75" x14ac:dyDescent="0.2">
      <c r="A388">
        <v>387</v>
      </c>
      <c r="B388" s="6" t="s">
        <v>1361</v>
      </c>
      <c r="C388" s="6" t="s">
        <v>1362</v>
      </c>
      <c r="D388" s="6" t="s">
        <v>1360</v>
      </c>
      <c r="E388" s="7"/>
      <c r="F388" s="7"/>
      <c r="G388" s="7"/>
      <c r="H388" s="7"/>
      <c r="I388" s="7"/>
      <c r="J388" s="7"/>
      <c r="K388">
        <v>1</v>
      </c>
    </row>
    <row r="389" spans="1:11" ht="12.75" x14ac:dyDescent="0.2">
      <c r="A389">
        <v>388</v>
      </c>
      <c r="B389" s="6" t="s">
        <v>1364</v>
      </c>
      <c r="C389" s="6" t="s">
        <v>1365</v>
      </c>
      <c r="D389" s="6" t="s">
        <v>1363</v>
      </c>
      <c r="E389" s="7"/>
      <c r="F389" s="8" t="str">
        <f>HYPERLINK("http://instagram.com/presidentdeath","@presidentdeath")</f>
        <v>@presidentdeath</v>
      </c>
      <c r="G389" s="7"/>
      <c r="H389" s="6" t="s">
        <v>1366</v>
      </c>
      <c r="I389" s="7"/>
      <c r="J389" s="7"/>
      <c r="K389">
        <v>1</v>
      </c>
    </row>
    <row r="390" spans="1:11" ht="12.75" x14ac:dyDescent="0.2">
      <c r="A390">
        <v>389</v>
      </c>
      <c r="B390" s="6" t="s">
        <v>1368</v>
      </c>
      <c r="C390" s="6" t="s">
        <v>1369</v>
      </c>
      <c r="D390" s="6" t="s">
        <v>1367</v>
      </c>
      <c r="E390" s="7"/>
      <c r="F390" s="7"/>
      <c r="G390" s="7"/>
      <c r="H390" s="7"/>
      <c r="I390" s="7"/>
      <c r="J390" s="7"/>
      <c r="K390">
        <v>1</v>
      </c>
    </row>
    <row r="391" spans="1:11" ht="12.75" x14ac:dyDescent="0.2">
      <c r="A391">
        <v>390</v>
      </c>
      <c r="B391" s="6" t="s">
        <v>1371</v>
      </c>
      <c r="C391" s="6" t="s">
        <v>1372</v>
      </c>
      <c r="D391" s="6" t="s">
        <v>1370</v>
      </c>
      <c r="E391" s="7"/>
      <c r="F391" s="7"/>
      <c r="G391" s="7"/>
      <c r="H391" s="7"/>
      <c r="I391" s="7"/>
      <c r="J391" s="7"/>
      <c r="K391">
        <v>1</v>
      </c>
    </row>
    <row r="392" spans="1:11" ht="12.75" x14ac:dyDescent="0.2">
      <c r="A392">
        <v>391</v>
      </c>
      <c r="B392" s="6" t="s">
        <v>1374</v>
      </c>
      <c r="C392" s="6" t="s">
        <v>1375</v>
      </c>
      <c r="D392" s="6" t="s">
        <v>1373</v>
      </c>
      <c r="E392" s="7"/>
      <c r="F392" s="7"/>
      <c r="G392" s="7"/>
      <c r="H392" s="7"/>
      <c r="I392" s="7"/>
      <c r="J392" s="7"/>
      <c r="K392">
        <v>1</v>
      </c>
    </row>
    <row r="393" spans="1:11" ht="12.75" x14ac:dyDescent="0.2">
      <c r="A393">
        <v>392</v>
      </c>
      <c r="B393" s="6" t="s">
        <v>1377</v>
      </c>
      <c r="C393" s="6" t="s">
        <v>1378</v>
      </c>
      <c r="D393" s="6" t="s">
        <v>1376</v>
      </c>
      <c r="E393" s="7"/>
      <c r="F393" s="7"/>
      <c r="G393" s="7"/>
      <c r="H393" s="6" t="s">
        <v>1379</v>
      </c>
      <c r="I393" s="7"/>
      <c r="J393" s="7"/>
      <c r="K393">
        <v>1</v>
      </c>
    </row>
    <row r="394" spans="1:11" ht="12.75" x14ac:dyDescent="0.2">
      <c r="A394">
        <v>393</v>
      </c>
      <c r="B394" s="6" t="s">
        <v>1381</v>
      </c>
      <c r="C394" s="6" t="s">
        <v>1382</v>
      </c>
      <c r="D394" s="6" t="s">
        <v>1380</v>
      </c>
      <c r="E394" s="7"/>
      <c r="F394" s="7"/>
      <c r="G394" s="7"/>
      <c r="H394" s="7"/>
      <c r="I394" s="7"/>
      <c r="J394" s="7"/>
      <c r="K394">
        <v>1</v>
      </c>
    </row>
    <row r="395" spans="1:11" ht="12.75" x14ac:dyDescent="0.2">
      <c r="A395">
        <v>394</v>
      </c>
      <c r="B395" s="6" t="s">
        <v>1384</v>
      </c>
      <c r="C395" s="6" t="s">
        <v>1385</v>
      </c>
      <c r="D395" s="6" t="s">
        <v>1383</v>
      </c>
      <c r="E395" s="7"/>
      <c r="F395" s="7"/>
      <c r="G395" s="7"/>
      <c r="H395" s="7"/>
      <c r="I395" s="7"/>
      <c r="J395" s="7"/>
      <c r="K395">
        <v>1</v>
      </c>
    </row>
    <row r="396" spans="1:11" ht="12.75" x14ac:dyDescent="0.2">
      <c r="A396">
        <v>395</v>
      </c>
      <c r="B396" s="6" t="s">
        <v>1387</v>
      </c>
      <c r="C396" s="6" t="s">
        <v>1388</v>
      </c>
      <c r="D396" s="6" t="s">
        <v>1386</v>
      </c>
      <c r="E396" s="7"/>
      <c r="F396" s="7"/>
      <c r="G396" s="7"/>
      <c r="H396" s="7"/>
      <c r="I396" s="7"/>
      <c r="J396" s="7"/>
      <c r="K396">
        <v>1</v>
      </c>
    </row>
    <row r="397" spans="1:11" ht="12.75" x14ac:dyDescent="0.2">
      <c r="A397">
        <v>396</v>
      </c>
      <c r="B397" s="6" t="s">
        <v>1390</v>
      </c>
      <c r="C397" s="6" t="s">
        <v>1391</v>
      </c>
      <c r="D397" s="6" t="s">
        <v>1389</v>
      </c>
      <c r="E397" s="7"/>
      <c r="F397" s="7"/>
      <c r="G397" s="7"/>
      <c r="H397" s="7"/>
      <c r="I397" s="7"/>
      <c r="J397" s="7"/>
      <c r="K397">
        <v>1</v>
      </c>
    </row>
    <row r="398" spans="1:11" ht="12.75" x14ac:dyDescent="0.2">
      <c r="A398">
        <v>397</v>
      </c>
      <c r="B398" s="6" t="s">
        <v>1393</v>
      </c>
      <c r="C398" s="6" t="s">
        <v>1394</v>
      </c>
      <c r="D398" s="6" t="s">
        <v>1392</v>
      </c>
      <c r="E398" s="8" t="str">
        <f>HYPERLINK("https://twitter.com/curbjobjason","@curbjobjason")</f>
        <v>@curbjobjason</v>
      </c>
      <c r="F398" s="9"/>
      <c r="G398" s="7"/>
      <c r="H398" s="6" t="s">
        <v>1395</v>
      </c>
      <c r="I398" s="7"/>
      <c r="J398" s="7"/>
      <c r="K398">
        <v>1</v>
      </c>
    </row>
    <row r="399" spans="1:11" ht="12.75" x14ac:dyDescent="0.2">
      <c r="A399">
        <v>398</v>
      </c>
      <c r="B399" s="6" t="s">
        <v>1397</v>
      </c>
      <c r="C399" s="6" t="s">
        <v>1398</v>
      </c>
      <c r="D399" s="6" t="s">
        <v>1396</v>
      </c>
      <c r="E399" s="7"/>
      <c r="F399" s="7"/>
      <c r="G399" s="7"/>
      <c r="H399" s="7"/>
      <c r="I399" s="7"/>
      <c r="J399" s="7"/>
      <c r="K399">
        <v>1</v>
      </c>
    </row>
    <row r="400" spans="1:11" ht="12.75" x14ac:dyDescent="0.2">
      <c r="A400">
        <v>399</v>
      </c>
      <c r="B400" s="6" t="s">
        <v>1400</v>
      </c>
      <c r="C400" s="6" t="s">
        <v>1401</v>
      </c>
      <c r="D400" s="6" t="s">
        <v>1399</v>
      </c>
      <c r="E400" s="7"/>
      <c r="F400" s="7"/>
      <c r="G400" s="7"/>
      <c r="H400" s="7"/>
      <c r="I400" s="7"/>
      <c r="J400" s="7"/>
      <c r="K400">
        <v>1</v>
      </c>
    </row>
    <row r="401" spans="1:11" ht="12.75" x14ac:dyDescent="0.2">
      <c r="A401">
        <v>400</v>
      </c>
      <c r="B401" s="6" t="s">
        <v>1403</v>
      </c>
      <c r="C401" s="6" t="s">
        <v>1404</v>
      </c>
      <c r="D401" s="6" t="s">
        <v>1402</v>
      </c>
      <c r="E401" s="8" t="str">
        <f>HYPERLINK("https://twitter.com/snakel87","@snakel87")</f>
        <v>@snakel87</v>
      </c>
      <c r="F401" s="8" t="str">
        <f>HYPERLINK("http://instagram.com/snakel87","@snakel87")</f>
        <v>@snakel87</v>
      </c>
      <c r="G401" s="7"/>
      <c r="H401" s="6" t="s">
        <v>1405</v>
      </c>
      <c r="I401" s="7"/>
      <c r="J401" s="7"/>
      <c r="K401">
        <v>1</v>
      </c>
    </row>
    <row r="402" spans="1:11" ht="12.75" x14ac:dyDescent="0.2">
      <c r="A402">
        <v>401</v>
      </c>
      <c r="B402" s="6" t="s">
        <v>1407</v>
      </c>
      <c r="C402" s="6" t="s">
        <v>1408</v>
      </c>
      <c r="D402" s="6" t="s">
        <v>1406</v>
      </c>
      <c r="E402" s="7"/>
      <c r="F402" s="7"/>
      <c r="G402" s="7"/>
      <c r="H402" s="7"/>
      <c r="I402" s="7"/>
      <c r="J402" s="7"/>
      <c r="K402">
        <v>1</v>
      </c>
    </row>
    <row r="403" spans="1:11" ht="12.75" x14ac:dyDescent="0.2">
      <c r="A403">
        <v>402</v>
      </c>
      <c r="B403" s="6" t="s">
        <v>1410</v>
      </c>
      <c r="C403" s="6" t="s">
        <v>1411</v>
      </c>
      <c r="D403" s="6" t="s">
        <v>1409</v>
      </c>
      <c r="E403" s="8" t="str">
        <f>HYPERLINK("https://twitter.com/jaymzmurphy","@jaymzmurphy")</f>
        <v>@jaymzmurphy</v>
      </c>
      <c r="F403" s="7"/>
      <c r="G403" s="7"/>
      <c r="H403" s="6" t="s">
        <v>1412</v>
      </c>
      <c r="I403" s="6" t="s">
        <v>1413</v>
      </c>
      <c r="J403" s="7"/>
      <c r="K403">
        <v>1</v>
      </c>
    </row>
    <row r="404" spans="1:11" ht="12.75" x14ac:dyDescent="0.2">
      <c r="A404">
        <v>403</v>
      </c>
      <c r="B404" s="6" t="s">
        <v>1415</v>
      </c>
      <c r="C404" s="6" t="s">
        <v>1416</v>
      </c>
      <c r="D404" s="6" t="s">
        <v>1414</v>
      </c>
      <c r="E404" s="7"/>
      <c r="F404" s="7"/>
      <c r="G404" s="7"/>
      <c r="H404" s="7"/>
      <c r="I404" s="7"/>
      <c r="J404" s="7"/>
      <c r="K404">
        <v>1</v>
      </c>
    </row>
    <row r="405" spans="1:11" ht="12.75" x14ac:dyDescent="0.2">
      <c r="A405">
        <v>404</v>
      </c>
      <c r="B405" s="6" t="s">
        <v>1418</v>
      </c>
      <c r="C405" s="6" t="s">
        <v>1419</v>
      </c>
      <c r="D405" s="6" t="s">
        <v>1417</v>
      </c>
      <c r="E405" s="7"/>
      <c r="F405" s="7"/>
      <c r="G405" s="7"/>
      <c r="H405" s="7"/>
      <c r="I405" s="7"/>
      <c r="J405" s="7"/>
      <c r="K405">
        <v>1</v>
      </c>
    </row>
    <row r="406" spans="1:11" ht="12.75" x14ac:dyDescent="0.2">
      <c r="A406">
        <v>405</v>
      </c>
      <c r="B406" s="6" t="s">
        <v>1421</v>
      </c>
      <c r="C406" s="6" t="s">
        <v>1422</v>
      </c>
      <c r="D406" s="6" t="s">
        <v>1420</v>
      </c>
      <c r="E406" s="7"/>
      <c r="F406" s="7"/>
      <c r="G406" s="7"/>
      <c r="H406" s="7"/>
      <c r="I406" s="7"/>
      <c r="J406" s="7"/>
      <c r="K406">
        <v>1</v>
      </c>
    </row>
    <row r="407" spans="1:11" ht="12.75" x14ac:dyDescent="0.2">
      <c r="A407">
        <v>406</v>
      </c>
      <c r="B407" s="6" t="s">
        <v>1424</v>
      </c>
      <c r="C407" s="6" t="s">
        <v>1425</v>
      </c>
      <c r="D407" s="6" t="s">
        <v>1423</v>
      </c>
      <c r="E407" s="7"/>
      <c r="F407" s="7"/>
      <c r="G407" s="7"/>
      <c r="H407" s="6" t="s">
        <v>1426</v>
      </c>
      <c r="I407" s="7"/>
      <c r="J407" s="7"/>
      <c r="K407">
        <v>1</v>
      </c>
    </row>
    <row r="408" spans="1:11" ht="12.75" x14ac:dyDescent="0.2">
      <c r="A408">
        <v>407</v>
      </c>
      <c r="B408" s="6" t="s">
        <v>1428</v>
      </c>
      <c r="C408" s="6" t="s">
        <v>1429</v>
      </c>
      <c r="D408" s="6" t="s">
        <v>1427</v>
      </c>
      <c r="E408" s="7"/>
      <c r="F408" s="7"/>
      <c r="G408" s="7"/>
      <c r="H408" s="7"/>
      <c r="I408" s="7"/>
      <c r="J408" s="7"/>
      <c r="K408">
        <v>1</v>
      </c>
    </row>
    <row r="409" spans="1:11" ht="12.75" x14ac:dyDescent="0.2">
      <c r="A409">
        <v>408</v>
      </c>
      <c r="B409" s="6" t="s">
        <v>1431</v>
      </c>
      <c r="C409" s="6" t="s">
        <v>1432</v>
      </c>
      <c r="D409" s="6" t="s">
        <v>1430</v>
      </c>
      <c r="E409" s="7"/>
      <c r="F409" s="7"/>
      <c r="G409" s="7"/>
      <c r="H409" s="7"/>
      <c r="I409" s="7"/>
      <c r="J409" s="7"/>
      <c r="K409">
        <v>1</v>
      </c>
    </row>
    <row r="410" spans="1:11" ht="12.75" x14ac:dyDescent="0.2">
      <c r="A410">
        <v>409</v>
      </c>
      <c r="B410" s="6" t="s">
        <v>1434</v>
      </c>
      <c r="C410" s="6" t="s">
        <v>1435</v>
      </c>
      <c r="D410" s="6" t="s">
        <v>1433</v>
      </c>
      <c r="E410" s="7"/>
      <c r="F410" s="7"/>
      <c r="G410" s="7"/>
      <c r="H410" s="7"/>
      <c r="I410" s="7"/>
      <c r="J410" s="7"/>
      <c r="K410">
        <v>1</v>
      </c>
    </row>
    <row r="411" spans="1:11" ht="12.75" x14ac:dyDescent="0.2">
      <c r="A411">
        <v>410</v>
      </c>
      <c r="B411" s="6" t="s">
        <v>1437</v>
      </c>
      <c r="C411" s="6" t="s">
        <v>1438</v>
      </c>
      <c r="D411" s="6" t="s">
        <v>1436</v>
      </c>
      <c r="E411" s="7"/>
      <c r="F411" s="7"/>
      <c r="G411" s="7"/>
      <c r="H411" s="7"/>
      <c r="I411" s="7"/>
      <c r="J411" s="7"/>
      <c r="K411">
        <v>1</v>
      </c>
    </row>
    <row r="412" spans="1:11" ht="12.75" x14ac:dyDescent="0.2">
      <c r="A412">
        <v>411</v>
      </c>
      <c r="B412" s="12" t="s">
        <v>1440</v>
      </c>
      <c r="C412" s="12" t="s">
        <v>1441</v>
      </c>
      <c r="D412" s="12" t="s">
        <v>1439</v>
      </c>
      <c r="E412" s="13" t="str">
        <f>HYPERLINK("https://twitter.com/rainmanrds","@rainmanrds")</f>
        <v>@rainmanrds</v>
      </c>
      <c r="F412" s="13" t="str">
        <f>HYPERLINK("http://instagram.com/rainmanrds","@rainmanrds")</f>
        <v>@rainmanrds</v>
      </c>
      <c r="G412" s="12" t="s">
        <v>1443</v>
      </c>
      <c r="H412" s="12" t="s">
        <v>1442</v>
      </c>
      <c r="I412" s="12" t="s">
        <v>1444</v>
      </c>
      <c r="J412" s="7"/>
      <c r="K412">
        <v>1</v>
      </c>
    </row>
    <row r="413" spans="1:11" ht="12.75" x14ac:dyDescent="0.2">
      <c r="A413">
        <v>412</v>
      </c>
      <c r="B413" s="6" t="s">
        <v>1446</v>
      </c>
      <c r="C413" s="6" t="s">
        <v>1447</v>
      </c>
      <c r="D413" s="6" t="s">
        <v>1445</v>
      </c>
      <c r="E413" s="15"/>
      <c r="F413" s="8" t="str">
        <f>HYPERLINK("http://instagram.com/sjkrupenny","@sjkrupenny")</f>
        <v>@sjkrupenny</v>
      </c>
      <c r="G413" s="7"/>
      <c r="H413" s="6" t="s">
        <v>1448</v>
      </c>
      <c r="I413" s="6"/>
      <c r="J413" s="7"/>
      <c r="K413">
        <v>1</v>
      </c>
    </row>
    <row r="414" spans="1:11" ht="12.75" x14ac:dyDescent="0.2">
      <c r="A414">
        <v>413</v>
      </c>
      <c r="B414" s="6" t="s">
        <v>1450</v>
      </c>
      <c r="C414" s="6" t="s">
        <v>1451</v>
      </c>
      <c r="D414" s="6" t="s">
        <v>1449</v>
      </c>
      <c r="E414" s="8" t="str">
        <f>HYPERLINK("https://twitter.com/RadioTFB","@RadioTFB")</f>
        <v>@RadioTFB</v>
      </c>
      <c r="F414" s="8" t="str">
        <f>HYPERLINK("http://instagram.com/radiotfb","@RadioTFB")</f>
        <v>@RadioTFB</v>
      </c>
      <c r="G414" s="7"/>
      <c r="H414" s="6" t="s">
        <v>1452</v>
      </c>
      <c r="I414" s="6" t="s">
        <v>1453</v>
      </c>
      <c r="J414" s="7"/>
      <c r="K414">
        <v>1</v>
      </c>
    </row>
    <row r="415" spans="1:11" ht="12.75" x14ac:dyDescent="0.2">
      <c r="A415">
        <v>414</v>
      </c>
      <c r="B415" s="6" t="s">
        <v>1455</v>
      </c>
      <c r="C415" s="6" t="s">
        <v>1456</v>
      </c>
      <c r="D415" s="6" t="s">
        <v>1454</v>
      </c>
      <c r="E415" s="9"/>
      <c r="F415" s="8" t="str">
        <f>HYPERLINK("http://instagram.com/aj_slagan","@AJ_Slagan")</f>
        <v>@AJ_Slagan</v>
      </c>
      <c r="G415" s="6" t="s">
        <v>1458</v>
      </c>
      <c r="H415" s="6" t="s">
        <v>1457</v>
      </c>
      <c r="I415" s="7"/>
      <c r="J415" s="7"/>
      <c r="K415">
        <v>1</v>
      </c>
    </row>
    <row r="416" spans="1:11" ht="12.75" x14ac:dyDescent="0.2">
      <c r="A416">
        <v>415</v>
      </c>
      <c r="B416" s="6" t="s">
        <v>1460</v>
      </c>
      <c r="C416" s="6" t="s">
        <v>1461</v>
      </c>
      <c r="D416" s="6" t="s">
        <v>1459</v>
      </c>
      <c r="E416" s="7"/>
      <c r="F416" s="7"/>
      <c r="G416" s="7"/>
      <c r="H416" s="7"/>
      <c r="I416" s="7"/>
      <c r="J416" s="7"/>
      <c r="K416">
        <v>1</v>
      </c>
    </row>
    <row r="417" spans="1:11" ht="12.75" x14ac:dyDescent="0.2">
      <c r="A417">
        <v>416</v>
      </c>
      <c r="B417" s="6" t="s">
        <v>1463</v>
      </c>
      <c r="C417" s="6" t="s">
        <v>1464</v>
      </c>
      <c r="D417" s="6" t="s">
        <v>1462</v>
      </c>
      <c r="E417" s="7"/>
      <c r="F417" s="7"/>
      <c r="G417" s="7"/>
      <c r="H417" s="7"/>
      <c r="I417" s="7"/>
      <c r="J417" s="7"/>
      <c r="K417">
        <v>1</v>
      </c>
    </row>
    <row r="418" spans="1:11" ht="12.75" x14ac:dyDescent="0.2">
      <c r="A418">
        <v>417</v>
      </c>
      <c r="B418" s="6" t="s">
        <v>1466</v>
      </c>
      <c r="C418" s="6" t="s">
        <v>1467</v>
      </c>
      <c r="D418" s="6" t="s">
        <v>1465</v>
      </c>
      <c r="E418" s="7"/>
      <c r="F418" s="7"/>
      <c r="G418" s="7"/>
      <c r="H418" s="7"/>
      <c r="I418" s="7"/>
      <c r="J418" s="7"/>
      <c r="K418">
        <v>1</v>
      </c>
    </row>
    <row r="419" spans="1:11" ht="12.75" x14ac:dyDescent="0.2">
      <c r="A419">
        <v>418</v>
      </c>
      <c r="B419" s="6" t="s">
        <v>1469</v>
      </c>
      <c r="C419" s="6" t="s">
        <v>1470</v>
      </c>
      <c r="D419" s="6" t="s">
        <v>1468</v>
      </c>
      <c r="E419" s="9"/>
      <c r="F419" s="8" t="str">
        <f>HYPERLINK("http://instagram.com/jordanstrange666/","@jordanstrange666")</f>
        <v>@jordanstrange666</v>
      </c>
      <c r="G419" s="7"/>
      <c r="H419" s="6" t="s">
        <v>1471</v>
      </c>
      <c r="I419" s="7"/>
      <c r="J419" s="7"/>
      <c r="K419">
        <v>1</v>
      </c>
    </row>
    <row r="420" spans="1:11" ht="12.75" x14ac:dyDescent="0.2">
      <c r="A420">
        <v>419</v>
      </c>
      <c r="B420" s="6" t="s">
        <v>1473</v>
      </c>
      <c r="C420" s="6" t="s">
        <v>1474</v>
      </c>
      <c r="D420" s="6" t="s">
        <v>1472</v>
      </c>
      <c r="E420" s="7"/>
      <c r="F420" s="7"/>
      <c r="G420" s="7"/>
      <c r="H420" s="7"/>
      <c r="I420" s="7"/>
      <c r="J420" s="7"/>
      <c r="K420">
        <v>1</v>
      </c>
    </row>
    <row r="421" spans="1:11" ht="12.75" x14ac:dyDescent="0.2">
      <c r="A421">
        <v>420</v>
      </c>
      <c r="B421" s="6" t="s">
        <v>1476</v>
      </c>
      <c r="C421" s="6" t="s">
        <v>1477</v>
      </c>
      <c r="D421" s="6" t="s">
        <v>1475</v>
      </c>
      <c r="E421" s="7"/>
      <c r="F421" s="7"/>
      <c r="G421" s="7"/>
      <c r="H421" s="7"/>
      <c r="I421" s="7"/>
      <c r="J421" s="7"/>
      <c r="K421">
        <v>1</v>
      </c>
    </row>
    <row r="422" spans="1:11" ht="12.75" x14ac:dyDescent="0.2">
      <c r="A422">
        <v>421</v>
      </c>
      <c r="B422" s="6" t="s">
        <v>1479</v>
      </c>
      <c r="C422" s="6" t="s">
        <v>1480</v>
      </c>
      <c r="D422" s="6" t="s">
        <v>1478</v>
      </c>
      <c r="E422" s="7"/>
      <c r="F422" s="7"/>
      <c r="G422" s="7"/>
      <c r="H422" s="7"/>
      <c r="I422" s="7"/>
      <c r="J422" s="7"/>
      <c r="K422">
        <v>1</v>
      </c>
    </row>
    <row r="423" spans="1:11" ht="12.75" x14ac:dyDescent="0.2">
      <c r="A423">
        <v>422</v>
      </c>
      <c r="B423" s="6" t="s">
        <v>1482</v>
      </c>
      <c r="C423" s="6" t="s">
        <v>1483</v>
      </c>
      <c r="D423" s="6" t="s">
        <v>1481</v>
      </c>
      <c r="E423" s="7"/>
      <c r="F423" s="7"/>
      <c r="G423" s="7"/>
      <c r="H423" s="7"/>
      <c r="I423" s="7"/>
      <c r="J423" s="7"/>
      <c r="K423">
        <v>1</v>
      </c>
    </row>
    <row r="424" spans="1:11" ht="12.75" x14ac:dyDescent="0.2">
      <c r="A424">
        <v>423</v>
      </c>
      <c r="B424" s="6" t="s">
        <v>1485</v>
      </c>
      <c r="C424" s="6" t="s">
        <v>1486</v>
      </c>
      <c r="D424" s="6" t="s">
        <v>1484</v>
      </c>
      <c r="E424" s="7"/>
      <c r="F424" s="7"/>
      <c r="G424" s="7"/>
      <c r="H424" s="7"/>
      <c r="I424" s="7"/>
      <c r="J424" s="7"/>
      <c r="K424">
        <v>1</v>
      </c>
    </row>
    <row r="425" spans="1:11" ht="12.75" x14ac:dyDescent="0.2">
      <c r="A425">
        <v>424</v>
      </c>
      <c r="B425" s="6" t="s">
        <v>1488</v>
      </c>
      <c r="C425" s="6" t="s">
        <v>1489</v>
      </c>
      <c r="D425" s="6" t="s">
        <v>1487</v>
      </c>
      <c r="E425" s="7"/>
      <c r="F425" s="7"/>
      <c r="G425" s="7"/>
      <c r="H425" s="6" t="s">
        <v>1490</v>
      </c>
      <c r="I425" s="7"/>
      <c r="J425" s="7"/>
      <c r="K425">
        <v>1</v>
      </c>
    </row>
    <row r="426" spans="1:11" ht="12.75" x14ac:dyDescent="0.2">
      <c r="A426">
        <v>425</v>
      </c>
      <c r="B426" s="6" t="s">
        <v>1492</v>
      </c>
      <c r="C426" s="6" t="s">
        <v>1493</v>
      </c>
      <c r="D426" s="6" t="s">
        <v>1491</v>
      </c>
      <c r="E426" s="7"/>
      <c r="F426" s="7"/>
      <c r="G426" s="7"/>
      <c r="H426" s="7"/>
      <c r="I426" s="7"/>
      <c r="J426" s="7"/>
      <c r="K426">
        <v>1</v>
      </c>
    </row>
    <row r="427" spans="1:11" ht="12.75" x14ac:dyDescent="0.2">
      <c r="A427">
        <v>426</v>
      </c>
      <c r="B427" s="6" t="s">
        <v>1495</v>
      </c>
      <c r="C427" s="6" t="s">
        <v>1496</v>
      </c>
      <c r="D427" s="6" t="s">
        <v>1494</v>
      </c>
      <c r="E427" s="7"/>
      <c r="F427" s="7"/>
      <c r="G427" s="7"/>
      <c r="H427" s="7"/>
      <c r="I427" s="7"/>
      <c r="J427" s="7"/>
      <c r="K427">
        <v>1</v>
      </c>
    </row>
    <row r="428" spans="1:11" ht="12.75" x14ac:dyDescent="0.2">
      <c r="A428">
        <v>427</v>
      </c>
      <c r="B428" s="6" t="s">
        <v>1498</v>
      </c>
      <c r="C428" s="6" t="s">
        <v>1499</v>
      </c>
      <c r="D428" s="6" t="s">
        <v>1497</v>
      </c>
      <c r="E428" s="8" t="str">
        <f>HYPERLINK("https://twitter.com/Cainester","@Cainester")</f>
        <v>@Cainester</v>
      </c>
      <c r="F428" s="8" t="str">
        <f>HYPERLINK("http://instagram.com/cainester","@Cainester")</f>
        <v>@Cainester</v>
      </c>
      <c r="G428" s="7"/>
      <c r="H428" s="6" t="s">
        <v>1500</v>
      </c>
      <c r="I428" s="7"/>
      <c r="J428" s="7"/>
      <c r="K428">
        <v>1</v>
      </c>
    </row>
    <row r="429" spans="1:11" ht="12.75" x14ac:dyDescent="0.2">
      <c r="A429">
        <v>428</v>
      </c>
      <c r="B429" s="6" t="s">
        <v>1502</v>
      </c>
      <c r="C429" s="6" t="s">
        <v>1503</v>
      </c>
      <c r="D429" s="6" t="s">
        <v>1501</v>
      </c>
      <c r="E429" s="8" t="str">
        <f>HYPERLINK("https://twitter.com/DrunkonBabies","@DrunkonBabies")</f>
        <v>@DrunkonBabies</v>
      </c>
      <c r="F429" s="8" t="str">
        <f>HYPERLINK("http://instagram.com/drunkonbabies","@DrunkonBabies")</f>
        <v>@DrunkonBabies</v>
      </c>
      <c r="G429" s="6" t="s">
        <v>1505</v>
      </c>
      <c r="H429" s="6" t="s">
        <v>1504</v>
      </c>
      <c r="I429" s="7"/>
      <c r="J429" s="7"/>
      <c r="K429">
        <v>1</v>
      </c>
    </row>
    <row r="430" spans="1:11" ht="12.75" x14ac:dyDescent="0.2">
      <c r="A430">
        <v>429</v>
      </c>
      <c r="B430" s="6" t="s">
        <v>1507</v>
      </c>
      <c r="C430" s="6" t="s">
        <v>1508</v>
      </c>
      <c r="D430" s="6" t="s">
        <v>1506</v>
      </c>
      <c r="E430" s="7"/>
      <c r="F430" s="7"/>
      <c r="G430" s="7"/>
      <c r="H430" s="7"/>
      <c r="I430" s="7"/>
      <c r="J430" s="7"/>
      <c r="K430">
        <v>1</v>
      </c>
    </row>
    <row r="431" spans="1:11" ht="12.75" x14ac:dyDescent="0.2">
      <c r="A431">
        <v>430</v>
      </c>
      <c r="B431" s="6" t="s">
        <v>1510</v>
      </c>
      <c r="C431" s="6" t="s">
        <v>1511</v>
      </c>
      <c r="D431" s="6" t="s">
        <v>1509</v>
      </c>
      <c r="E431" s="7"/>
      <c r="F431" s="7"/>
      <c r="G431" s="7"/>
      <c r="H431" s="7"/>
      <c r="I431" s="7"/>
      <c r="J431" s="7"/>
      <c r="K431">
        <v>1</v>
      </c>
    </row>
    <row r="432" spans="1:11" ht="12.75" x14ac:dyDescent="0.2">
      <c r="A432">
        <v>431</v>
      </c>
      <c r="B432" s="6" t="s">
        <v>1513</v>
      </c>
      <c r="C432" s="6" t="s">
        <v>1514</v>
      </c>
      <c r="D432" s="6" t="s">
        <v>1512</v>
      </c>
      <c r="E432" s="7"/>
      <c r="F432" s="7"/>
      <c r="G432" s="7"/>
      <c r="H432" s="7"/>
      <c r="I432" s="7"/>
      <c r="J432" s="7"/>
      <c r="K432">
        <v>1</v>
      </c>
    </row>
    <row r="433" spans="1:11" ht="12.75" x14ac:dyDescent="0.2">
      <c r="A433">
        <v>432</v>
      </c>
      <c r="B433" s="6" t="s">
        <v>1516</v>
      </c>
      <c r="C433" s="7"/>
      <c r="D433" s="6" t="s">
        <v>1515</v>
      </c>
      <c r="E433" s="7"/>
      <c r="F433" s="7"/>
      <c r="G433" s="7"/>
      <c r="H433" s="7"/>
      <c r="I433" s="7"/>
      <c r="J433" s="7"/>
      <c r="K433">
        <v>1</v>
      </c>
    </row>
    <row r="434" spans="1:11" ht="12.75" x14ac:dyDescent="0.2">
      <c r="A434">
        <v>433</v>
      </c>
      <c r="B434" s="6" t="s">
        <v>1518</v>
      </c>
      <c r="C434" s="6" t="s">
        <v>1519</v>
      </c>
      <c r="D434" s="6" t="s">
        <v>1517</v>
      </c>
      <c r="E434" s="7"/>
      <c r="F434" s="7"/>
      <c r="G434" s="7"/>
      <c r="H434" s="7"/>
      <c r="I434" s="7"/>
      <c r="J434" s="7"/>
      <c r="K434">
        <v>1</v>
      </c>
    </row>
    <row r="435" spans="1:11" ht="12.75" x14ac:dyDescent="0.2">
      <c r="A435">
        <v>434</v>
      </c>
      <c r="B435" s="6" t="s">
        <v>1521</v>
      </c>
      <c r="C435" s="6" t="s">
        <v>1522</v>
      </c>
      <c r="D435" s="6" t="s">
        <v>1520</v>
      </c>
      <c r="E435" s="7"/>
      <c r="F435" s="7"/>
      <c r="G435" s="7"/>
      <c r="H435" s="7"/>
      <c r="I435" s="7"/>
      <c r="J435" s="7"/>
      <c r="K435">
        <v>1</v>
      </c>
    </row>
    <row r="436" spans="1:11" ht="12.75" x14ac:dyDescent="0.2">
      <c r="A436">
        <v>435</v>
      </c>
      <c r="B436" s="6" t="s">
        <v>1524</v>
      </c>
      <c r="C436" s="6" t="s">
        <v>1525</v>
      </c>
      <c r="D436" s="6" t="s">
        <v>1523</v>
      </c>
      <c r="E436" s="7"/>
      <c r="F436" s="7"/>
      <c r="G436" s="7"/>
      <c r="H436" s="7"/>
      <c r="I436" s="7"/>
      <c r="J436" s="7"/>
      <c r="K436">
        <v>1</v>
      </c>
    </row>
    <row r="437" spans="1:11" ht="12.75" x14ac:dyDescent="0.2">
      <c r="A437">
        <v>436</v>
      </c>
      <c r="B437" s="6" t="s">
        <v>1527</v>
      </c>
      <c r="C437" s="6" t="s">
        <v>1528</v>
      </c>
      <c r="D437" s="6" t="s">
        <v>1526</v>
      </c>
      <c r="E437" s="7"/>
      <c r="F437" s="7"/>
      <c r="G437" s="7"/>
      <c r="H437" s="7"/>
      <c r="I437" s="7"/>
      <c r="J437" s="7"/>
      <c r="K437">
        <v>1</v>
      </c>
    </row>
    <row r="438" spans="1:11" ht="12.75" x14ac:dyDescent="0.2">
      <c r="A438">
        <v>437</v>
      </c>
      <c r="B438" s="6" t="s">
        <v>1530</v>
      </c>
      <c r="C438" s="6" t="s">
        <v>1531</v>
      </c>
      <c r="D438" s="6" t="s">
        <v>1529</v>
      </c>
      <c r="E438" s="7"/>
      <c r="F438" s="7"/>
      <c r="G438" s="7"/>
      <c r="H438" s="7"/>
      <c r="I438" s="7"/>
      <c r="J438" s="7"/>
      <c r="K438">
        <v>1</v>
      </c>
    </row>
    <row r="439" spans="1:11" ht="12.75" x14ac:dyDescent="0.2">
      <c r="A439">
        <v>438</v>
      </c>
      <c r="B439" s="6" t="s">
        <v>1533</v>
      </c>
      <c r="C439" s="6" t="s">
        <v>1534</v>
      </c>
      <c r="D439" s="6" t="s">
        <v>1532</v>
      </c>
      <c r="E439" s="7"/>
      <c r="F439" s="7"/>
      <c r="G439" s="6" t="s">
        <v>1536</v>
      </c>
      <c r="H439" s="6" t="s">
        <v>1535</v>
      </c>
      <c r="I439" s="7"/>
      <c r="J439" s="7"/>
      <c r="K439">
        <v>1</v>
      </c>
    </row>
    <row r="440" spans="1:11" ht="12.75" x14ac:dyDescent="0.2">
      <c r="A440">
        <v>439</v>
      </c>
      <c r="B440" s="6" t="s">
        <v>1538</v>
      </c>
      <c r="C440" s="6" t="s">
        <v>1539</v>
      </c>
      <c r="D440" s="6" t="s">
        <v>1537</v>
      </c>
      <c r="E440" s="7"/>
      <c r="F440" s="7"/>
      <c r="G440" s="7"/>
      <c r="H440" s="7"/>
      <c r="I440" s="7"/>
      <c r="J440" s="7"/>
      <c r="K440">
        <v>1</v>
      </c>
    </row>
    <row r="441" spans="1:11" ht="12.75" x14ac:dyDescent="0.2">
      <c r="A441">
        <v>440</v>
      </c>
      <c r="B441" s="6" t="s">
        <v>1541</v>
      </c>
      <c r="C441" s="6" t="s">
        <v>1542</v>
      </c>
      <c r="D441" s="6" t="s">
        <v>1540</v>
      </c>
      <c r="E441" s="7"/>
      <c r="F441" s="7"/>
      <c r="G441" s="7"/>
      <c r="H441" s="6" t="s">
        <v>1543</v>
      </c>
      <c r="I441" s="6" t="s">
        <v>1544</v>
      </c>
      <c r="J441" s="7"/>
      <c r="K441">
        <v>1</v>
      </c>
    </row>
    <row r="442" spans="1:11" ht="12.75" x14ac:dyDescent="0.2">
      <c r="A442">
        <v>441</v>
      </c>
      <c r="B442" s="6" t="s">
        <v>1546</v>
      </c>
      <c r="C442" s="6" t="s">
        <v>1547</v>
      </c>
      <c r="D442" s="6" t="s">
        <v>1545</v>
      </c>
      <c r="E442" s="8" t="str">
        <f>HYPERLINK("https://twitter.com/toms3051","@Toms3051")</f>
        <v>@Toms3051</v>
      </c>
      <c r="F442" s="8" t="str">
        <f>HYPERLINK("http://instagram.com/Tom295","@Tom295 ")</f>
        <v xml:space="preserve">@Tom295 </v>
      </c>
      <c r="G442" s="6" t="s">
        <v>1549</v>
      </c>
      <c r="H442" s="6" t="s">
        <v>1548</v>
      </c>
      <c r="I442" s="7"/>
      <c r="J442" s="7"/>
      <c r="K442">
        <v>1</v>
      </c>
    </row>
    <row r="443" spans="1:11" ht="12.75" x14ac:dyDescent="0.2">
      <c r="A443">
        <v>442</v>
      </c>
      <c r="B443" s="6" t="s">
        <v>1551</v>
      </c>
      <c r="C443" s="6" t="s">
        <v>1552</v>
      </c>
      <c r="D443" s="6" t="s">
        <v>1550</v>
      </c>
      <c r="E443" s="7"/>
      <c r="F443" s="7"/>
      <c r="G443" s="7"/>
      <c r="H443" s="7"/>
      <c r="I443" s="7"/>
      <c r="J443" s="7"/>
      <c r="K443">
        <v>1</v>
      </c>
    </row>
    <row r="444" spans="1:11" ht="12.75" x14ac:dyDescent="0.2">
      <c r="A444">
        <v>443</v>
      </c>
      <c r="B444" s="6" t="s">
        <v>1554</v>
      </c>
      <c r="C444" s="6" t="s">
        <v>1555</v>
      </c>
      <c r="D444" s="6" t="s">
        <v>1553</v>
      </c>
      <c r="E444" s="8" t="str">
        <f>HYPERLINK("https://twitter.com/Oldmanfry","@oldmanfry")</f>
        <v>@oldmanfry</v>
      </c>
      <c r="F444" s="8" t="str">
        <f>HYPERLINK("http://instagram.com/oldmanfry","@oldmanfry")</f>
        <v>@oldmanfry</v>
      </c>
      <c r="G444" s="7"/>
      <c r="H444" s="6" t="s">
        <v>1556</v>
      </c>
      <c r="I444" s="6" t="s">
        <v>1557</v>
      </c>
      <c r="J444" s="7"/>
      <c r="K444">
        <v>1</v>
      </c>
    </row>
    <row r="445" spans="1:11" ht="12.75" x14ac:dyDescent="0.2">
      <c r="A445">
        <v>444</v>
      </c>
      <c r="B445" s="6" t="s">
        <v>1559</v>
      </c>
      <c r="C445" s="6" t="s">
        <v>1560</v>
      </c>
      <c r="D445" s="6" t="s">
        <v>1558</v>
      </c>
      <c r="E445" s="8" t="str">
        <f>HYPERLINK("https://twitter.com/emilyinSD","@EmilyInSD")</f>
        <v>@EmilyInSD</v>
      </c>
      <c r="F445" s="8" t="str">
        <f>HYPERLINK("http://instagram.com/emilyinsd","@EmilyInSD")</f>
        <v>@EmilyInSD</v>
      </c>
      <c r="G445" s="6" t="s">
        <v>1562</v>
      </c>
      <c r="H445" s="6" t="s">
        <v>1561</v>
      </c>
      <c r="I445" s="6" t="s">
        <v>1563</v>
      </c>
      <c r="J445" s="7"/>
      <c r="K445">
        <v>1</v>
      </c>
    </row>
    <row r="446" spans="1:11" ht="12.75" x14ac:dyDescent="0.2">
      <c r="A446">
        <v>445</v>
      </c>
      <c r="B446" s="6" t="s">
        <v>1565</v>
      </c>
      <c r="C446" s="6" t="s">
        <v>1566</v>
      </c>
      <c r="D446" s="6" t="s">
        <v>1564</v>
      </c>
      <c r="E446" s="7"/>
      <c r="F446" s="7"/>
      <c r="G446" s="7"/>
      <c r="H446" s="7"/>
      <c r="I446" s="7"/>
      <c r="J446" s="7"/>
      <c r="K446">
        <v>1</v>
      </c>
    </row>
    <row r="447" spans="1:11" ht="12.75" x14ac:dyDescent="0.2">
      <c r="A447">
        <v>446</v>
      </c>
      <c r="B447" s="6" t="s">
        <v>1568</v>
      </c>
      <c r="C447" s="6" t="s">
        <v>1569</v>
      </c>
      <c r="D447" s="6" t="s">
        <v>1567</v>
      </c>
      <c r="E447" s="7"/>
      <c r="F447" s="7"/>
      <c r="G447" s="7"/>
      <c r="H447" s="7"/>
      <c r="I447" s="7"/>
      <c r="J447" s="7"/>
      <c r="K447">
        <v>1</v>
      </c>
    </row>
    <row r="448" spans="1:11" ht="12.75" x14ac:dyDescent="0.2">
      <c r="A448">
        <v>447</v>
      </c>
      <c r="B448" s="6" t="s">
        <v>1571</v>
      </c>
      <c r="C448" s="6" t="s">
        <v>1572</v>
      </c>
      <c r="D448" s="6" t="s">
        <v>1570</v>
      </c>
      <c r="E448" s="8" t="str">
        <f>HYPERLINK("https://twitter.com/TithaS","@tithas")</f>
        <v>@tithas</v>
      </c>
      <c r="F448" s="8" t="str">
        <f>HYPERLINK("http://instagram.com/SGTwolfknife","@sgtwolfknife")</f>
        <v>@sgtwolfknife</v>
      </c>
      <c r="G448" s="7"/>
      <c r="H448" s="6" t="s">
        <v>1573</v>
      </c>
      <c r="I448" s="7"/>
      <c r="J448" s="7"/>
      <c r="K448">
        <v>1</v>
      </c>
    </row>
    <row r="449" spans="1:11" ht="12.75" x14ac:dyDescent="0.2">
      <c r="A449">
        <v>448</v>
      </c>
      <c r="B449" s="6" t="s">
        <v>1575</v>
      </c>
      <c r="C449" s="6" t="s">
        <v>1576</v>
      </c>
      <c r="D449" s="6" t="s">
        <v>1574</v>
      </c>
      <c r="E449" s="7"/>
      <c r="F449" s="7"/>
      <c r="G449" s="7"/>
      <c r="H449" s="7"/>
      <c r="I449" s="7"/>
      <c r="J449" s="7"/>
      <c r="K449">
        <v>1</v>
      </c>
    </row>
    <row r="450" spans="1:11" ht="12.75" x14ac:dyDescent="0.2">
      <c r="A450">
        <v>449</v>
      </c>
      <c r="B450" s="6" t="s">
        <v>1578</v>
      </c>
      <c r="C450" s="6" t="s">
        <v>1579</v>
      </c>
      <c r="D450" s="6" t="s">
        <v>1577</v>
      </c>
      <c r="E450" s="7"/>
      <c r="F450" s="7"/>
      <c r="G450" s="7"/>
      <c r="H450" s="7"/>
      <c r="I450" s="7"/>
      <c r="J450" s="7"/>
      <c r="K450">
        <v>1</v>
      </c>
    </row>
    <row r="451" spans="1:11" ht="12.75" x14ac:dyDescent="0.2">
      <c r="A451">
        <v>450</v>
      </c>
      <c r="B451" s="6" t="s">
        <v>1581</v>
      </c>
      <c r="C451" s="6" t="s">
        <v>1582</v>
      </c>
      <c r="D451" s="6" t="s">
        <v>1580</v>
      </c>
      <c r="E451" s="7"/>
      <c r="F451" s="7"/>
      <c r="G451" s="7"/>
      <c r="H451" s="7"/>
      <c r="I451" s="7"/>
      <c r="J451" s="7"/>
      <c r="K451">
        <v>1</v>
      </c>
    </row>
    <row r="452" spans="1:11" ht="12.75" x14ac:dyDescent="0.2">
      <c r="A452">
        <v>451</v>
      </c>
      <c r="B452" s="6" t="s">
        <v>1584</v>
      </c>
      <c r="C452" s="6" t="s">
        <v>1585</v>
      </c>
      <c r="D452" s="6" t="s">
        <v>1583</v>
      </c>
      <c r="E452" s="7"/>
      <c r="F452" s="7"/>
      <c r="G452" s="7"/>
      <c r="H452" s="7"/>
      <c r="I452" s="7"/>
      <c r="J452" s="7"/>
      <c r="K452">
        <v>1</v>
      </c>
    </row>
    <row r="453" spans="1:11" ht="12.75" x14ac:dyDescent="0.2">
      <c r="A453">
        <v>452</v>
      </c>
      <c r="B453" s="6" t="s">
        <v>1587</v>
      </c>
      <c r="C453" s="6" t="s">
        <v>1588</v>
      </c>
      <c r="D453" s="6" t="s">
        <v>1586</v>
      </c>
      <c r="E453" s="7"/>
      <c r="F453" s="7"/>
      <c r="G453" s="7"/>
      <c r="H453" s="7"/>
      <c r="I453" s="7"/>
      <c r="J453" s="7"/>
      <c r="K453">
        <v>1</v>
      </c>
    </row>
    <row r="454" spans="1:11" ht="12.75" x14ac:dyDescent="0.2">
      <c r="A454">
        <v>453</v>
      </c>
      <c r="B454" s="6" t="s">
        <v>1590</v>
      </c>
      <c r="C454" s="6" t="s">
        <v>1591</v>
      </c>
      <c r="D454" s="6" t="s">
        <v>1589</v>
      </c>
      <c r="E454" s="7"/>
      <c r="F454" s="7"/>
      <c r="G454" s="7"/>
      <c r="H454" s="7"/>
      <c r="I454" s="7"/>
      <c r="J454" s="7"/>
      <c r="K454">
        <v>1</v>
      </c>
    </row>
    <row r="455" spans="1:11" ht="12.75" x14ac:dyDescent="0.2">
      <c r="A455">
        <v>454</v>
      </c>
      <c r="B455" s="6" t="s">
        <v>1593</v>
      </c>
      <c r="C455" s="6" t="s">
        <v>1594</v>
      </c>
      <c r="D455" s="6" t="s">
        <v>1592</v>
      </c>
      <c r="E455" s="7"/>
      <c r="F455" s="15"/>
      <c r="G455" s="6"/>
      <c r="H455" s="7"/>
      <c r="I455" s="7"/>
      <c r="J455" s="7"/>
      <c r="K455">
        <v>1</v>
      </c>
    </row>
    <row r="456" spans="1:11" ht="12.75" x14ac:dyDescent="0.2">
      <c r="A456">
        <v>455</v>
      </c>
      <c r="B456" s="6" t="s">
        <v>1596</v>
      </c>
      <c r="C456" s="6" t="s">
        <v>1597</v>
      </c>
      <c r="D456" s="6" t="s">
        <v>1595</v>
      </c>
      <c r="E456" s="7"/>
      <c r="F456" s="8" t="str">
        <f>HYPERLINK("http://instagram.com/wolffire12","@wolffire12")</f>
        <v>@wolffire12</v>
      </c>
      <c r="G456" s="6" t="s">
        <v>1599</v>
      </c>
      <c r="H456" s="6" t="s">
        <v>1598</v>
      </c>
      <c r="I456" s="7"/>
      <c r="J456" s="7"/>
      <c r="K456">
        <v>1</v>
      </c>
    </row>
    <row r="457" spans="1:11" ht="12.75" x14ac:dyDescent="0.2">
      <c r="A457">
        <v>456</v>
      </c>
      <c r="B457" s="6" t="s">
        <v>1601</v>
      </c>
      <c r="C457" s="6" t="s">
        <v>1602</v>
      </c>
      <c r="D457" s="6" t="s">
        <v>1600</v>
      </c>
      <c r="E457" s="7"/>
      <c r="F457" s="7"/>
      <c r="G457" s="7"/>
      <c r="H457" s="7"/>
      <c r="I457" s="7"/>
      <c r="J457" s="7"/>
      <c r="K457">
        <v>1</v>
      </c>
    </row>
    <row r="458" spans="1:11" ht="12.75" x14ac:dyDescent="0.2">
      <c r="A458">
        <v>457</v>
      </c>
      <c r="B458" s="6" t="s">
        <v>1604</v>
      </c>
      <c r="C458" s="6" t="s">
        <v>1605</v>
      </c>
      <c r="D458" s="6" t="s">
        <v>1603</v>
      </c>
      <c r="E458" s="7"/>
      <c r="F458" s="7"/>
      <c r="G458" s="7"/>
      <c r="H458" s="7"/>
      <c r="I458" s="7"/>
      <c r="J458" s="7"/>
      <c r="K458">
        <v>1</v>
      </c>
    </row>
    <row r="459" spans="1:11" ht="12.75" x14ac:dyDescent="0.2">
      <c r="A459">
        <v>458</v>
      </c>
      <c r="B459" s="6" t="s">
        <v>1607</v>
      </c>
      <c r="C459" s="6" t="s">
        <v>1608</v>
      </c>
      <c r="D459" s="6" t="s">
        <v>1606</v>
      </c>
      <c r="E459" s="7"/>
      <c r="F459" s="7"/>
      <c r="G459" s="7"/>
      <c r="H459" s="7"/>
      <c r="I459" s="7"/>
      <c r="J459" s="7"/>
      <c r="K459">
        <v>1</v>
      </c>
    </row>
    <row r="460" spans="1:11" ht="12.75" x14ac:dyDescent="0.2">
      <c r="A460">
        <v>459</v>
      </c>
      <c r="B460" s="6" t="s">
        <v>1610</v>
      </c>
      <c r="C460" s="6" t="s">
        <v>1611</v>
      </c>
      <c r="D460" s="6" t="s">
        <v>1609</v>
      </c>
      <c r="E460" s="8" t="str">
        <f>HYPERLINK("https://twitter.com/shit_toboggan","@shit_toboggan")</f>
        <v>@shit_toboggan</v>
      </c>
      <c r="F460" s="16" t="str">
        <f>HYPERLINK("http://instagram.com/shit.toboggan","@shit.toboggan")</f>
        <v>@shit.toboggan</v>
      </c>
      <c r="G460" s="6" t="s">
        <v>1613</v>
      </c>
      <c r="H460" s="6" t="s">
        <v>1612</v>
      </c>
      <c r="I460" s="7"/>
      <c r="J460" s="7"/>
      <c r="K460">
        <v>1</v>
      </c>
    </row>
    <row r="461" spans="1:11" ht="12.75" x14ac:dyDescent="0.2">
      <c r="A461">
        <v>460</v>
      </c>
      <c r="B461" s="6" t="s">
        <v>1615</v>
      </c>
      <c r="C461" s="6" t="s">
        <v>1616</v>
      </c>
      <c r="D461" s="6" t="s">
        <v>1614</v>
      </c>
      <c r="E461" s="7"/>
      <c r="F461" s="7"/>
      <c r="G461" s="7"/>
      <c r="H461" s="7"/>
      <c r="I461" s="7"/>
      <c r="J461" s="7"/>
      <c r="K461">
        <v>1</v>
      </c>
    </row>
    <row r="462" spans="1:11" ht="12.75" x14ac:dyDescent="0.2">
      <c r="A462">
        <v>461</v>
      </c>
      <c r="B462" s="6" t="s">
        <v>1618</v>
      </c>
      <c r="C462" s="6" t="s">
        <v>1619</v>
      </c>
      <c r="D462" s="6" t="s">
        <v>1617</v>
      </c>
      <c r="E462" s="7"/>
      <c r="F462" s="7"/>
      <c r="G462" s="7"/>
      <c r="H462" s="7"/>
      <c r="I462" s="7"/>
      <c r="J462" s="7"/>
      <c r="K462">
        <v>1</v>
      </c>
    </row>
    <row r="463" spans="1:11" ht="12.75" x14ac:dyDescent="0.2">
      <c r="A463">
        <v>462</v>
      </c>
      <c r="B463" s="6" t="s">
        <v>1621</v>
      </c>
      <c r="C463" s="6" t="s">
        <v>1622</v>
      </c>
      <c r="D463" s="6" t="s">
        <v>1620</v>
      </c>
      <c r="E463" s="7"/>
      <c r="F463" s="7"/>
      <c r="G463" s="7"/>
      <c r="H463" s="7"/>
      <c r="I463" s="7"/>
      <c r="J463" s="7"/>
      <c r="K463">
        <v>1</v>
      </c>
    </row>
    <row r="464" spans="1:11" ht="12.75" x14ac:dyDescent="0.2">
      <c r="A464">
        <v>463</v>
      </c>
      <c r="B464" s="6" t="s">
        <v>1624</v>
      </c>
      <c r="C464" s="6" t="s">
        <v>1625</v>
      </c>
      <c r="D464" s="6" t="s">
        <v>1623</v>
      </c>
      <c r="E464" s="7"/>
      <c r="F464" s="7"/>
      <c r="G464" s="7"/>
      <c r="H464" s="7"/>
      <c r="I464" s="7"/>
      <c r="J464" s="7"/>
      <c r="K464">
        <v>1</v>
      </c>
    </row>
    <row r="465" spans="1:11" ht="12.75" x14ac:dyDescent="0.2">
      <c r="A465">
        <v>464</v>
      </c>
      <c r="B465" s="6" t="s">
        <v>1627</v>
      </c>
      <c r="C465" s="6" t="s">
        <v>1628</v>
      </c>
      <c r="D465" s="6" t="s">
        <v>1626</v>
      </c>
      <c r="E465" s="7"/>
      <c r="F465" s="7"/>
      <c r="G465" s="7"/>
      <c r="H465" s="7"/>
      <c r="I465" s="7"/>
      <c r="J465" s="7"/>
      <c r="K465">
        <v>1</v>
      </c>
    </row>
    <row r="466" spans="1:11" ht="12.75" x14ac:dyDescent="0.2">
      <c r="A466">
        <v>465</v>
      </c>
      <c r="B466" s="6" t="s">
        <v>1630</v>
      </c>
      <c r="C466" s="6" t="s">
        <v>1631</v>
      </c>
      <c r="D466" s="6" t="s">
        <v>1629</v>
      </c>
      <c r="E466" s="7"/>
      <c r="F466" s="7"/>
      <c r="G466" s="7"/>
      <c r="H466" s="7"/>
      <c r="I466" s="7"/>
      <c r="J466" s="7"/>
      <c r="K466">
        <v>1</v>
      </c>
    </row>
    <row r="467" spans="1:11" ht="12.75" x14ac:dyDescent="0.2">
      <c r="A467">
        <v>466</v>
      </c>
      <c r="B467" s="6" t="s">
        <v>1633</v>
      </c>
      <c r="C467" s="6" t="s">
        <v>1634</v>
      </c>
      <c r="D467" s="6" t="s">
        <v>1632</v>
      </c>
      <c r="E467" s="7"/>
      <c r="F467" s="7"/>
      <c r="G467" s="7"/>
      <c r="H467" s="7"/>
      <c r="I467" s="7"/>
      <c r="J467" s="7"/>
      <c r="K467">
        <v>1</v>
      </c>
    </row>
    <row r="468" spans="1:11" ht="12.75" x14ac:dyDescent="0.2">
      <c r="A468">
        <v>467</v>
      </c>
      <c r="B468" s="6" t="s">
        <v>1636</v>
      </c>
      <c r="C468" s="6" t="s">
        <v>1637</v>
      </c>
      <c r="D468" s="6" t="s">
        <v>1635</v>
      </c>
      <c r="E468" s="8" t="str">
        <f>HYPERLINK("https://twitter.com/sleepyjoe_RDS","@SleepyJoe_RDS")</f>
        <v>@SleepyJoe_RDS</v>
      </c>
      <c r="F468" s="8" t="str">
        <f>HYPERLINK("http://instagram.com/sleepyjoepo","@SleepyJoePO")</f>
        <v>@SleepyJoePO</v>
      </c>
      <c r="G468" s="6" t="s">
        <v>1639</v>
      </c>
      <c r="H468" s="6" t="s">
        <v>1638</v>
      </c>
      <c r="I468" s="6" t="s">
        <v>1640</v>
      </c>
      <c r="J468" s="7"/>
      <c r="K468">
        <v>1</v>
      </c>
    </row>
    <row r="469" spans="1:11" ht="12.75" x14ac:dyDescent="0.2">
      <c r="A469">
        <v>468</v>
      </c>
      <c r="B469" s="6" t="s">
        <v>1642</v>
      </c>
      <c r="C469" s="6" t="s">
        <v>1643</v>
      </c>
      <c r="D469" s="6" t="s">
        <v>1641</v>
      </c>
      <c r="E469" s="7"/>
      <c r="F469" s="7"/>
      <c r="G469" s="7"/>
      <c r="H469" s="7"/>
      <c r="I469" s="7"/>
      <c r="J469" s="7"/>
      <c r="K469">
        <v>1</v>
      </c>
    </row>
    <row r="470" spans="1:11" ht="12.75" x14ac:dyDescent="0.2">
      <c r="A470">
        <v>469</v>
      </c>
      <c r="B470" s="6" t="s">
        <v>1645</v>
      </c>
      <c r="C470" s="6" t="s">
        <v>1646</v>
      </c>
      <c r="D470" s="6" t="s">
        <v>1644</v>
      </c>
      <c r="E470" s="7"/>
      <c r="F470" s="7"/>
      <c r="G470" s="7"/>
      <c r="H470" s="7"/>
      <c r="I470" s="7"/>
      <c r="J470" s="7"/>
      <c r="K470">
        <v>1</v>
      </c>
    </row>
    <row r="471" spans="1:11" ht="12.75" x14ac:dyDescent="0.2">
      <c r="A471">
        <v>470</v>
      </c>
      <c r="B471" s="6" t="s">
        <v>1648</v>
      </c>
      <c r="C471" s="6" t="s">
        <v>1649</v>
      </c>
      <c r="D471" s="6" t="s">
        <v>1647</v>
      </c>
      <c r="E471" s="7"/>
      <c r="F471" s="7"/>
      <c r="G471" s="7"/>
      <c r="H471" s="7"/>
      <c r="I471" s="7"/>
      <c r="J471" s="7"/>
      <c r="K471">
        <v>1</v>
      </c>
    </row>
    <row r="472" spans="1:11" ht="12.75" x14ac:dyDescent="0.2">
      <c r="A472">
        <v>471</v>
      </c>
      <c r="B472" s="6" t="s">
        <v>1651</v>
      </c>
      <c r="C472" s="6" t="s">
        <v>1652</v>
      </c>
      <c r="D472" s="6" t="s">
        <v>1650</v>
      </c>
      <c r="E472" s="7"/>
      <c r="F472" s="7"/>
      <c r="G472" s="7"/>
      <c r="H472" s="7"/>
      <c r="I472" s="7"/>
      <c r="J472" s="7"/>
      <c r="K472">
        <v>1</v>
      </c>
    </row>
    <row r="473" spans="1:11" ht="12.75" x14ac:dyDescent="0.2">
      <c r="A473">
        <v>472</v>
      </c>
      <c r="B473" s="6" t="s">
        <v>1654</v>
      </c>
      <c r="C473" s="6" t="s">
        <v>1655</v>
      </c>
      <c r="D473" s="6" t="s">
        <v>1653</v>
      </c>
      <c r="E473" s="8" t="str">
        <f>HYPERLINK("https://twitter.com/Soccovitch","@soccovitch")</f>
        <v>@soccovitch</v>
      </c>
      <c r="F473" s="8" t="str">
        <f>HYPERLINK("http://instagram.com/soccovitch","@soccovitch")</f>
        <v>@soccovitch</v>
      </c>
      <c r="G473" s="6" t="s">
        <v>1657</v>
      </c>
      <c r="H473" s="6" t="s">
        <v>1656</v>
      </c>
      <c r="I473" s="6" t="s">
        <v>1658</v>
      </c>
      <c r="J473" s="7"/>
      <c r="K473">
        <v>1</v>
      </c>
    </row>
    <row r="474" spans="1:11" ht="12.75" x14ac:dyDescent="0.2">
      <c r="A474">
        <v>473</v>
      </c>
      <c r="B474" s="6" t="s">
        <v>1660</v>
      </c>
      <c r="C474" s="6" t="s">
        <v>1661</v>
      </c>
      <c r="D474" s="6" t="s">
        <v>1659</v>
      </c>
      <c r="E474" s="15"/>
      <c r="F474" s="7"/>
      <c r="G474" s="7"/>
      <c r="H474" s="7"/>
      <c r="I474" s="7"/>
      <c r="J474" s="7"/>
      <c r="K474">
        <v>1</v>
      </c>
    </row>
    <row r="475" spans="1:11" ht="12.75" x14ac:dyDescent="0.2">
      <c r="A475">
        <v>474</v>
      </c>
      <c r="B475" s="6" t="s">
        <v>1663</v>
      </c>
      <c r="C475" s="6" t="s">
        <v>1664</v>
      </c>
      <c r="D475" s="6" t="s">
        <v>1662</v>
      </c>
      <c r="E475" s="7"/>
      <c r="F475" s="7"/>
      <c r="G475" s="7"/>
      <c r="H475" s="7"/>
      <c r="I475" s="7"/>
      <c r="J475" s="7"/>
      <c r="K475">
        <v>1</v>
      </c>
    </row>
    <row r="476" spans="1:11" ht="12.75" x14ac:dyDescent="0.2">
      <c r="A476">
        <v>475</v>
      </c>
      <c r="B476" s="6" t="s">
        <v>1666</v>
      </c>
      <c r="C476" s="6" t="s">
        <v>1667</v>
      </c>
      <c r="D476" s="6" t="s">
        <v>1665</v>
      </c>
      <c r="E476" s="7"/>
      <c r="F476" s="7"/>
      <c r="G476" s="7"/>
      <c r="H476" s="7"/>
      <c r="I476" s="7"/>
      <c r="J476" s="7"/>
      <c r="K476">
        <v>1</v>
      </c>
    </row>
    <row r="477" spans="1:11" ht="12.75" x14ac:dyDescent="0.2">
      <c r="A477">
        <v>476</v>
      </c>
      <c r="B477" s="6" t="s">
        <v>1669</v>
      </c>
      <c r="C477" s="6" t="s">
        <v>1670</v>
      </c>
      <c r="D477" s="6" t="s">
        <v>1668</v>
      </c>
      <c r="E477" s="7"/>
      <c r="F477" s="7"/>
      <c r="G477" s="7"/>
      <c r="H477" s="7"/>
      <c r="I477" s="7"/>
      <c r="J477" s="7"/>
      <c r="K477">
        <v>1</v>
      </c>
    </row>
    <row r="478" spans="1:11" ht="12.75" x14ac:dyDescent="0.2">
      <c r="A478">
        <v>477</v>
      </c>
      <c r="B478" s="6" t="s">
        <v>1672</v>
      </c>
      <c r="C478" s="6" t="s">
        <v>1673</v>
      </c>
      <c r="D478" s="6" t="s">
        <v>1671</v>
      </c>
      <c r="E478" s="7"/>
      <c r="F478" s="7"/>
      <c r="G478" s="7"/>
      <c r="H478" s="7"/>
      <c r="I478" s="7"/>
      <c r="J478" s="7"/>
      <c r="K478">
        <v>1</v>
      </c>
    </row>
    <row r="479" spans="1:11" ht="12.75" x14ac:dyDescent="0.2">
      <c r="A479">
        <v>478</v>
      </c>
      <c r="B479" s="6" t="s">
        <v>1675</v>
      </c>
      <c r="C479" s="6" t="s">
        <v>1676</v>
      </c>
      <c r="D479" s="6" t="s">
        <v>1674</v>
      </c>
      <c r="E479" s="8" t="str">
        <f>HYPERLINK("https://twitter.com/spaseghost","@spaseghost")</f>
        <v>@spaseghost</v>
      </c>
      <c r="F479" s="7"/>
      <c r="G479" s="7"/>
      <c r="H479" s="7"/>
      <c r="I479" s="7"/>
      <c r="J479" s="7"/>
      <c r="K479">
        <v>1</v>
      </c>
    </row>
    <row r="480" spans="1:11" ht="12.75" x14ac:dyDescent="0.2">
      <c r="A480">
        <v>479</v>
      </c>
      <c r="B480" s="6" t="s">
        <v>1678</v>
      </c>
      <c r="C480" s="6" t="s">
        <v>1679</v>
      </c>
      <c r="D480" s="6" t="s">
        <v>1677</v>
      </c>
      <c r="E480" s="7"/>
      <c r="F480" s="7"/>
      <c r="G480" s="7"/>
      <c r="H480" s="7"/>
      <c r="I480" s="7"/>
      <c r="J480" s="7"/>
      <c r="K480">
        <v>1</v>
      </c>
    </row>
    <row r="481" spans="1:11" ht="12.75" x14ac:dyDescent="0.2">
      <c r="A481">
        <v>480</v>
      </c>
      <c r="B481" s="6" t="s">
        <v>1681</v>
      </c>
      <c r="C481" s="6" t="s">
        <v>1682</v>
      </c>
      <c r="D481" s="6" t="s">
        <v>1680</v>
      </c>
      <c r="E481" s="7"/>
      <c r="F481" s="7"/>
      <c r="G481" s="7"/>
      <c r="H481" s="7"/>
      <c r="I481" s="7"/>
      <c r="J481" s="7"/>
      <c r="K481">
        <v>1</v>
      </c>
    </row>
    <row r="482" spans="1:11" ht="12.75" x14ac:dyDescent="0.2">
      <c r="A482">
        <v>481</v>
      </c>
      <c r="B482" s="6" t="s">
        <v>1684</v>
      </c>
      <c r="C482" s="6" t="s">
        <v>1685</v>
      </c>
      <c r="D482" s="6" t="s">
        <v>1683</v>
      </c>
      <c r="E482" s="7"/>
      <c r="F482" s="7"/>
      <c r="G482" s="7"/>
      <c r="H482" s="7"/>
      <c r="I482" s="7"/>
      <c r="J482" s="7"/>
      <c r="K482">
        <v>1</v>
      </c>
    </row>
    <row r="483" spans="1:11" ht="12.75" x14ac:dyDescent="0.2">
      <c r="A483">
        <v>482</v>
      </c>
      <c r="B483" s="6" t="s">
        <v>1687</v>
      </c>
      <c r="C483" s="6" t="s">
        <v>1688</v>
      </c>
      <c r="D483" s="6" t="s">
        <v>1686</v>
      </c>
      <c r="E483" s="8" t="str">
        <f>HYPERLINK("https://twitter.com/Kvetter81","@Kvetter81")</f>
        <v>@Kvetter81</v>
      </c>
      <c r="F483" s="8" t="str">
        <f>HYPERLINK("http://instagram.com/Dibiase8181","@Dibiase8181")</f>
        <v>@Dibiase8181</v>
      </c>
      <c r="G483" s="7"/>
      <c r="H483" s="6" t="s">
        <v>1689</v>
      </c>
      <c r="I483" s="7"/>
      <c r="J483" s="7"/>
      <c r="K483">
        <v>1</v>
      </c>
    </row>
    <row r="484" spans="1:11" ht="12.75" x14ac:dyDescent="0.2">
      <c r="A484">
        <v>483</v>
      </c>
      <c r="B484" s="6" t="s">
        <v>1691</v>
      </c>
      <c r="C484" s="6" t="s">
        <v>1692</v>
      </c>
      <c r="D484" s="6" t="s">
        <v>1690</v>
      </c>
      <c r="E484" s="7"/>
      <c r="F484" s="7"/>
      <c r="G484" s="7"/>
      <c r="H484" s="7"/>
      <c r="I484" s="7"/>
      <c r="J484" s="7"/>
      <c r="K484">
        <v>1</v>
      </c>
    </row>
    <row r="485" spans="1:11" ht="12.75" x14ac:dyDescent="0.2">
      <c r="A485">
        <v>484</v>
      </c>
      <c r="B485" s="6" t="s">
        <v>1694</v>
      </c>
      <c r="C485" s="6" t="s">
        <v>1695</v>
      </c>
      <c r="D485" s="6" t="s">
        <v>1693</v>
      </c>
      <c r="E485" s="7"/>
      <c r="F485" s="7"/>
      <c r="G485" s="7"/>
      <c r="H485" s="7"/>
      <c r="I485" s="7"/>
      <c r="J485" s="7"/>
      <c r="K485">
        <v>1</v>
      </c>
    </row>
    <row r="486" spans="1:11" ht="12.75" x14ac:dyDescent="0.2">
      <c r="A486">
        <v>485</v>
      </c>
      <c r="B486" s="6" t="s">
        <v>1697</v>
      </c>
      <c r="C486" s="6" t="s">
        <v>1698</v>
      </c>
      <c r="D486" s="6" t="s">
        <v>1696</v>
      </c>
      <c r="E486" s="8" t="str">
        <f>HYPERLINK("https://twitter.com/ErikStene","@ErikStene")</f>
        <v>@ErikStene</v>
      </c>
      <c r="F486" s="8" t="str">
        <f>HYPERLINK("http://instagram.com/gore_d","@gore_d")</f>
        <v>@gore_d</v>
      </c>
      <c r="G486" s="7"/>
      <c r="H486" s="6" t="s">
        <v>1699</v>
      </c>
      <c r="I486" s="7"/>
      <c r="J486" s="7"/>
      <c r="K486">
        <v>1</v>
      </c>
    </row>
    <row r="487" spans="1:11" ht="12.75" x14ac:dyDescent="0.2">
      <c r="A487">
        <v>486</v>
      </c>
      <c r="B487" s="6" t="s">
        <v>1701</v>
      </c>
      <c r="C487" s="6" t="s">
        <v>1702</v>
      </c>
      <c r="D487" s="6" t="s">
        <v>1700</v>
      </c>
      <c r="E487" s="8" t="str">
        <f>HYPERLINK("https://twitter.com/stapleneck","@stapleneck")</f>
        <v>@stapleneck</v>
      </c>
      <c r="F487" s="8" t="str">
        <f>HYPERLINK("http://instagram.com/stapleneck","@stapleneck")</f>
        <v>@stapleneck</v>
      </c>
      <c r="G487" s="6" t="s">
        <v>1704</v>
      </c>
      <c r="H487" s="6" t="s">
        <v>1703</v>
      </c>
      <c r="I487" s="6" t="s">
        <v>1705</v>
      </c>
      <c r="J487" s="7"/>
      <c r="K487">
        <v>1</v>
      </c>
    </row>
    <row r="488" spans="1:11" ht="12.75" x14ac:dyDescent="0.2">
      <c r="A488">
        <v>487</v>
      </c>
      <c r="B488" s="6" t="s">
        <v>1707</v>
      </c>
      <c r="C488" s="6" t="s">
        <v>1708</v>
      </c>
      <c r="D488" s="6" t="s">
        <v>1706</v>
      </c>
      <c r="E488" s="7"/>
      <c r="F488" s="7"/>
      <c r="G488" s="7"/>
      <c r="H488" s="7"/>
      <c r="I488" s="7"/>
      <c r="J488" s="7"/>
      <c r="K488">
        <v>1</v>
      </c>
    </row>
    <row r="489" spans="1:11" ht="12.75" x14ac:dyDescent="0.2">
      <c r="A489">
        <v>488</v>
      </c>
      <c r="B489" s="6" t="s">
        <v>1710</v>
      </c>
      <c r="C489" s="6" t="s">
        <v>1711</v>
      </c>
      <c r="D489" s="6" t="s">
        <v>1709</v>
      </c>
      <c r="E489" s="7"/>
      <c r="F489" s="7"/>
      <c r="G489" s="7"/>
      <c r="H489" s="7"/>
      <c r="I489" s="7"/>
      <c r="J489" s="7"/>
      <c r="K489">
        <v>1</v>
      </c>
    </row>
    <row r="490" spans="1:11" ht="12.75" x14ac:dyDescent="0.2">
      <c r="A490">
        <v>489</v>
      </c>
      <c r="B490" s="6" t="s">
        <v>1713</v>
      </c>
      <c r="C490" s="6" t="s">
        <v>1714</v>
      </c>
      <c r="D490" s="6" t="s">
        <v>1712</v>
      </c>
      <c r="E490" s="7"/>
      <c r="F490" s="8" t="str">
        <f>HYPERLINK("http://instagram.com/t_wreck","@T_Wreck")</f>
        <v>@T_Wreck</v>
      </c>
      <c r="G490" s="7"/>
      <c r="H490" s="6" t="s">
        <v>1715</v>
      </c>
      <c r="I490" s="6" t="s">
        <v>1716</v>
      </c>
      <c r="J490" s="7"/>
      <c r="K490">
        <v>1</v>
      </c>
    </row>
    <row r="491" spans="1:11" ht="12.75" x14ac:dyDescent="0.2">
      <c r="A491">
        <v>490</v>
      </c>
      <c r="B491" s="6" t="s">
        <v>1718</v>
      </c>
      <c r="C491" s="6" t="s">
        <v>1719</v>
      </c>
      <c r="D491" s="6" t="s">
        <v>1717</v>
      </c>
      <c r="E491" s="7"/>
      <c r="F491" s="7"/>
      <c r="G491" s="7"/>
      <c r="H491" s="7"/>
      <c r="I491" s="7"/>
      <c r="J491" s="7"/>
      <c r="K491">
        <v>1</v>
      </c>
    </row>
    <row r="492" spans="1:11" ht="12.75" x14ac:dyDescent="0.2">
      <c r="A492">
        <v>491</v>
      </c>
      <c r="B492" s="6" t="s">
        <v>1721</v>
      </c>
      <c r="C492" s="6" t="s">
        <v>1722</v>
      </c>
      <c r="D492" s="6" t="s">
        <v>1720</v>
      </c>
      <c r="E492" s="7"/>
      <c r="F492" s="7"/>
      <c r="G492" s="7"/>
      <c r="H492" s="7"/>
      <c r="I492" s="7"/>
      <c r="J492" s="7"/>
      <c r="K492">
        <v>1</v>
      </c>
    </row>
    <row r="493" spans="1:11" ht="12.75" x14ac:dyDescent="0.2">
      <c r="A493">
        <v>492</v>
      </c>
      <c r="B493" s="6" t="s">
        <v>1724</v>
      </c>
      <c r="C493" s="6" t="s">
        <v>1725</v>
      </c>
      <c r="D493" s="6" t="s">
        <v>1723</v>
      </c>
      <c r="E493" s="7"/>
      <c r="F493" s="7"/>
      <c r="G493" s="7"/>
      <c r="H493" s="7"/>
      <c r="I493" s="7"/>
      <c r="J493" s="7"/>
      <c r="K493">
        <v>1</v>
      </c>
    </row>
    <row r="494" spans="1:11" ht="12.75" x14ac:dyDescent="0.2">
      <c r="A494">
        <v>493</v>
      </c>
      <c r="B494" s="6" t="s">
        <v>1727</v>
      </c>
      <c r="C494" s="6" t="s">
        <v>1728</v>
      </c>
      <c r="D494" s="6" t="s">
        <v>1726</v>
      </c>
      <c r="E494" s="8" t="str">
        <f>HYPERLINK("https://twitter.com/FredoWin","@FredoWin")</f>
        <v>@FredoWin</v>
      </c>
      <c r="F494" s="8" t="str">
        <f>HYPERLINK("http://instagram.com/summer_pasta","@summer_pasta")</f>
        <v>@summer_pasta</v>
      </c>
      <c r="G494" s="6" t="s">
        <v>1730</v>
      </c>
      <c r="H494" s="6" t="s">
        <v>1729</v>
      </c>
      <c r="I494" s="6"/>
      <c r="J494" s="7"/>
      <c r="K494">
        <v>1</v>
      </c>
    </row>
    <row r="495" spans="1:11" ht="12.75" x14ac:dyDescent="0.2">
      <c r="A495">
        <v>494</v>
      </c>
      <c r="B495" s="6" t="s">
        <v>1732</v>
      </c>
      <c r="C495" s="6" t="s">
        <v>1733</v>
      </c>
      <c r="D495" s="6" t="s">
        <v>1731</v>
      </c>
      <c r="E495" s="8" t="str">
        <f>HYPERLINK("https://twitter.com/possiblytully","@possiblytully")</f>
        <v>@possiblytully</v>
      </c>
      <c r="F495" s="8" t="str">
        <f>HYPERLINK("http://instagram.com/tullywood","@tullywood")</f>
        <v>@tullywood</v>
      </c>
      <c r="G495" s="6" t="s">
        <v>1735</v>
      </c>
      <c r="H495" s="6" t="s">
        <v>1734</v>
      </c>
      <c r="I495" s="6" t="s">
        <v>1736</v>
      </c>
      <c r="J495" s="7"/>
      <c r="K495">
        <v>1</v>
      </c>
    </row>
    <row r="496" spans="1:11" ht="12.75" x14ac:dyDescent="0.2">
      <c r="A496">
        <v>495</v>
      </c>
      <c r="B496" s="6" t="s">
        <v>1738</v>
      </c>
      <c r="C496" s="6" t="s">
        <v>1739</v>
      </c>
      <c r="D496" s="6" t="s">
        <v>1737</v>
      </c>
      <c r="E496" s="7"/>
      <c r="F496" s="7"/>
      <c r="G496" s="7"/>
      <c r="H496" s="7"/>
      <c r="I496" s="7"/>
      <c r="J496" s="7"/>
      <c r="K496">
        <v>1</v>
      </c>
    </row>
    <row r="497" spans="1:11" ht="12.75" x14ac:dyDescent="0.2">
      <c r="A497">
        <v>496</v>
      </c>
      <c r="B497" s="6" t="s">
        <v>1741</v>
      </c>
      <c r="C497" s="6" t="s">
        <v>1742</v>
      </c>
      <c r="D497" s="6" t="s">
        <v>1740</v>
      </c>
      <c r="E497" s="8" t="str">
        <f>HYPERLINK("https://twitter.com/JoleneParties","@JoleneParties")</f>
        <v>@JoleneParties</v>
      </c>
      <c r="F497" s="8" t="str">
        <f>HYPERLINK("http://instagram.com/missjolenemae","@missjolenemae")</f>
        <v>@missjolenemae</v>
      </c>
      <c r="G497" s="7"/>
      <c r="H497" s="6" t="s">
        <v>1743</v>
      </c>
      <c r="I497" s="6" t="s">
        <v>1744</v>
      </c>
      <c r="J497" s="7"/>
      <c r="K497">
        <v>1</v>
      </c>
    </row>
    <row r="498" spans="1:11" ht="12.75" x14ac:dyDescent="0.2">
      <c r="A498">
        <v>497</v>
      </c>
      <c r="B498" s="6" t="s">
        <v>1746</v>
      </c>
      <c r="C498" s="6" t="s">
        <v>1747</v>
      </c>
      <c r="D498" s="6" t="s">
        <v>1745</v>
      </c>
      <c r="E498" s="7"/>
      <c r="F498" s="7"/>
      <c r="G498" s="7"/>
      <c r="H498" s="7"/>
      <c r="I498" s="7"/>
      <c r="J498" s="7"/>
      <c r="K498">
        <v>1</v>
      </c>
    </row>
    <row r="499" spans="1:11" ht="12.75" x14ac:dyDescent="0.2">
      <c r="A499">
        <v>498</v>
      </c>
      <c r="B499" s="6" t="s">
        <v>1749</v>
      </c>
      <c r="C499" s="6" t="s">
        <v>1750</v>
      </c>
      <c r="D499" s="6" t="s">
        <v>1748</v>
      </c>
      <c r="E499" s="7"/>
      <c r="F499" s="7"/>
      <c r="G499" s="7"/>
      <c r="H499" s="7"/>
      <c r="I499" s="7"/>
      <c r="J499" s="7"/>
      <c r="K499">
        <v>1</v>
      </c>
    </row>
    <row r="500" spans="1:11" ht="12.75" x14ac:dyDescent="0.2">
      <c r="A500">
        <v>499</v>
      </c>
      <c r="B500" s="6" t="s">
        <v>1752</v>
      </c>
      <c r="C500" s="6" t="s">
        <v>1753</v>
      </c>
      <c r="D500" s="6" t="s">
        <v>1751</v>
      </c>
      <c r="E500" s="7"/>
      <c r="F500" s="7"/>
      <c r="G500" s="7"/>
      <c r="H500" s="7"/>
      <c r="I500" s="7"/>
      <c r="J500" s="7"/>
      <c r="K500">
        <v>1</v>
      </c>
    </row>
    <row r="501" spans="1:11" ht="12.75" x14ac:dyDescent="0.2">
      <c r="A501">
        <v>500</v>
      </c>
      <c r="B501" s="6" t="s">
        <v>1755</v>
      </c>
      <c r="C501" s="6" t="s">
        <v>1756</v>
      </c>
      <c r="D501" s="6" t="s">
        <v>1754</v>
      </c>
      <c r="E501" s="7"/>
      <c r="F501" s="7"/>
      <c r="G501" s="7"/>
      <c r="H501" s="7"/>
      <c r="I501" s="7"/>
      <c r="J501" s="7"/>
      <c r="K501">
        <v>1</v>
      </c>
    </row>
    <row r="502" spans="1:11" ht="12.75" x14ac:dyDescent="0.2">
      <c r="A502">
        <v>501</v>
      </c>
      <c r="B502" s="6" t="s">
        <v>1758</v>
      </c>
      <c r="C502" s="6" t="s">
        <v>1759</v>
      </c>
      <c r="D502" s="6" t="s">
        <v>1757</v>
      </c>
      <c r="E502" s="7"/>
      <c r="F502" s="7"/>
      <c r="G502" s="7"/>
      <c r="H502" s="7"/>
      <c r="I502" s="7"/>
      <c r="J502" s="7"/>
      <c r="K502">
        <v>1</v>
      </c>
    </row>
    <row r="503" spans="1:11" ht="12.75" x14ac:dyDescent="0.2">
      <c r="A503">
        <v>502</v>
      </c>
      <c r="B503" s="6" t="s">
        <v>1761</v>
      </c>
      <c r="C503" s="6" t="s">
        <v>1762</v>
      </c>
      <c r="D503" s="6" t="s">
        <v>1760</v>
      </c>
      <c r="E503" s="7"/>
      <c r="F503" s="7"/>
      <c r="G503" s="7"/>
      <c r="H503" s="7"/>
      <c r="I503" s="7"/>
      <c r="J503" s="7"/>
      <c r="K503">
        <v>1</v>
      </c>
    </row>
    <row r="504" spans="1:11" ht="12.75" x14ac:dyDescent="0.2">
      <c r="A504">
        <v>503</v>
      </c>
      <c r="B504" s="6" t="s">
        <v>1764</v>
      </c>
      <c r="C504" s="6" t="s">
        <v>1765</v>
      </c>
      <c r="D504" s="6" t="s">
        <v>1763</v>
      </c>
      <c r="E504" s="7"/>
      <c r="F504" s="7"/>
      <c r="G504" s="7"/>
      <c r="H504" s="7"/>
      <c r="I504" s="7"/>
      <c r="J504" s="7"/>
      <c r="K504">
        <v>1</v>
      </c>
    </row>
    <row r="505" spans="1:11" ht="12.75" x14ac:dyDescent="0.2">
      <c r="A505">
        <v>504</v>
      </c>
      <c r="B505" s="6" t="s">
        <v>1767</v>
      </c>
      <c r="C505" s="6" t="s">
        <v>1768</v>
      </c>
      <c r="D505" s="6" t="s">
        <v>1766</v>
      </c>
      <c r="E505" s="8" t="str">
        <f>HYPERLINK("https://twitter.com/Cullensaidthis","@CullenSaidThis")</f>
        <v>@CullenSaidThis</v>
      </c>
      <c r="F505" s="8" t="str">
        <f>HYPERLINK("http://instagram.com/cullensaidthis/","@CullenSaidThis")</f>
        <v>@CullenSaidThis</v>
      </c>
      <c r="G505" s="7"/>
      <c r="H505" s="6" t="s">
        <v>1769</v>
      </c>
      <c r="I505" s="6" t="s">
        <v>1770</v>
      </c>
      <c r="J505" s="7"/>
      <c r="K505">
        <v>1</v>
      </c>
    </row>
    <row r="506" spans="1:11" ht="12.75" x14ac:dyDescent="0.2">
      <c r="A506">
        <v>505</v>
      </c>
      <c r="B506" s="6" t="s">
        <v>1772</v>
      </c>
      <c r="C506" s="6" t="s">
        <v>1773</v>
      </c>
      <c r="D506" s="6" t="s">
        <v>1771</v>
      </c>
      <c r="E506" s="7"/>
      <c r="F506" s="7"/>
      <c r="G506" s="7"/>
      <c r="H506" s="7"/>
      <c r="I506" s="7"/>
      <c r="J506" s="7"/>
      <c r="K506">
        <v>1</v>
      </c>
    </row>
    <row r="507" spans="1:11" ht="12.75" x14ac:dyDescent="0.2">
      <c r="A507">
        <v>506</v>
      </c>
      <c r="B507" s="6" t="s">
        <v>1775</v>
      </c>
      <c r="C507" s="6" t="s">
        <v>1776</v>
      </c>
      <c r="D507" s="6" t="s">
        <v>1774</v>
      </c>
      <c r="E507" s="7"/>
      <c r="F507" s="7"/>
      <c r="G507" s="7"/>
      <c r="H507" s="7"/>
      <c r="I507" s="7"/>
      <c r="J507" s="7"/>
      <c r="K507">
        <v>1</v>
      </c>
    </row>
    <row r="508" spans="1:11" ht="12.75" x14ac:dyDescent="0.2">
      <c r="A508">
        <v>507</v>
      </c>
      <c r="B508" s="6" t="s">
        <v>1778</v>
      </c>
      <c r="C508" s="6" t="s">
        <v>1779</v>
      </c>
      <c r="D508" s="6" t="s">
        <v>1777</v>
      </c>
      <c r="E508" s="7"/>
      <c r="F508" s="7"/>
      <c r="G508" s="7"/>
      <c r="H508" s="7"/>
      <c r="I508" s="7"/>
      <c r="J508" s="7"/>
      <c r="K508">
        <v>1</v>
      </c>
    </row>
    <row r="509" spans="1:11" ht="12.75" x14ac:dyDescent="0.2">
      <c r="A509">
        <v>508</v>
      </c>
      <c r="B509" s="6" t="s">
        <v>1781</v>
      </c>
      <c r="C509" s="6" t="s">
        <v>1782</v>
      </c>
      <c r="D509" s="6" t="s">
        <v>1780</v>
      </c>
      <c r="E509" s="7"/>
      <c r="F509" s="7"/>
      <c r="G509" s="7"/>
      <c r="H509" s="7"/>
      <c r="I509" s="7"/>
      <c r="J509" s="7"/>
      <c r="K509">
        <v>1</v>
      </c>
    </row>
    <row r="510" spans="1:11" ht="12.75" x14ac:dyDescent="0.2">
      <c r="A510">
        <v>509</v>
      </c>
      <c r="B510" s="6" t="s">
        <v>1784</v>
      </c>
      <c r="C510" s="6" t="s">
        <v>1785</v>
      </c>
      <c r="D510" s="6" t="s">
        <v>1783</v>
      </c>
      <c r="E510" s="7"/>
      <c r="F510" s="7"/>
      <c r="G510" s="7"/>
      <c r="H510" s="7"/>
      <c r="I510" s="7"/>
      <c r="J510" s="7"/>
      <c r="K510">
        <v>1</v>
      </c>
    </row>
    <row r="511" spans="1:11" ht="12.75" x14ac:dyDescent="0.2">
      <c r="A511">
        <v>510</v>
      </c>
      <c r="B511" s="6" t="s">
        <v>1787</v>
      </c>
      <c r="C511" s="6" t="s">
        <v>1788</v>
      </c>
      <c r="D511" s="6" t="s">
        <v>1786</v>
      </c>
      <c r="E511" s="8" t="str">
        <f>HYPERLINK("https://twitter.com/bombsnuffer","@bombsnuffer")</f>
        <v>@bombsnuffer</v>
      </c>
      <c r="F511" s="8" t="str">
        <f>HYPERLINK("http://instagram.com/zachzachzach_","zachzachzach_")</f>
        <v>zachzachzach_</v>
      </c>
      <c r="G511" s="7"/>
      <c r="H511" s="6" t="s">
        <v>1789</v>
      </c>
      <c r="I511" s="7"/>
      <c r="J511" s="7"/>
      <c r="K511">
        <v>1</v>
      </c>
    </row>
    <row r="512" spans="1:11" ht="12.75" x14ac:dyDescent="0.2">
      <c r="A512">
        <v>511</v>
      </c>
      <c r="B512" s="6" t="s">
        <v>1791</v>
      </c>
      <c r="C512" s="6" t="s">
        <v>1792</v>
      </c>
      <c r="D512" s="6" t="s">
        <v>1790</v>
      </c>
      <c r="E512" s="7"/>
      <c r="F512" s="7"/>
      <c r="G512" s="7"/>
      <c r="H512" s="7"/>
      <c r="I512" s="7"/>
      <c r="J512" s="7"/>
      <c r="K512">
        <v>1</v>
      </c>
    </row>
    <row r="513" spans="1:11" ht="12.75" x14ac:dyDescent="0.2">
      <c r="A513">
        <v>512</v>
      </c>
      <c r="B513" s="6" t="s">
        <v>1794</v>
      </c>
      <c r="C513" s="7"/>
      <c r="D513" s="6" t="s">
        <v>1793</v>
      </c>
      <c r="E513" s="7"/>
      <c r="F513" s="7"/>
      <c r="G513" s="7"/>
      <c r="H513" s="7"/>
      <c r="I513" s="7"/>
      <c r="J513" s="7"/>
      <c r="K513">
        <v>1</v>
      </c>
    </row>
    <row r="514" spans="1:11" ht="12.75" x14ac:dyDescent="0.2">
      <c r="A514">
        <v>513</v>
      </c>
      <c r="B514" s="6" t="s">
        <v>1796</v>
      </c>
      <c r="C514" s="6" t="s">
        <v>1797</v>
      </c>
      <c r="D514" s="6" t="s">
        <v>1795</v>
      </c>
      <c r="E514" s="7"/>
      <c r="F514" s="8" t="str">
        <f>HYPERLINK("http://instagram.com/mrjinkzd","@mrjinkzd")</f>
        <v>@mrjinkzd</v>
      </c>
      <c r="G514" s="7"/>
      <c r="H514" s="6" t="s">
        <v>1798</v>
      </c>
      <c r="I514" s="7"/>
      <c r="J514" s="7"/>
      <c r="K514">
        <v>1</v>
      </c>
    </row>
    <row r="515" spans="1:11" ht="12.75" x14ac:dyDescent="0.2">
      <c r="A515">
        <v>514</v>
      </c>
      <c r="B515" s="6" t="s">
        <v>1800</v>
      </c>
      <c r="C515" s="6" t="s">
        <v>1801</v>
      </c>
      <c r="D515" s="6" t="s">
        <v>1799</v>
      </c>
      <c r="E515" s="7"/>
      <c r="F515" s="7"/>
      <c r="G515" s="7"/>
      <c r="H515" s="7"/>
      <c r="I515" s="7"/>
      <c r="J515" s="7"/>
      <c r="K515">
        <v>1</v>
      </c>
    </row>
    <row r="516" spans="1:11" ht="12.75" x14ac:dyDescent="0.2">
      <c r="A516">
        <v>515</v>
      </c>
      <c r="B516" s="6" t="s">
        <v>1803</v>
      </c>
      <c r="C516" s="6" t="s">
        <v>1804</v>
      </c>
      <c r="D516" s="6" t="s">
        <v>1802</v>
      </c>
      <c r="E516" s="7"/>
      <c r="F516" s="7"/>
      <c r="G516" s="7"/>
      <c r="H516" s="7"/>
      <c r="I516" s="7"/>
      <c r="J516" s="7"/>
      <c r="K516">
        <v>1</v>
      </c>
    </row>
    <row r="517" spans="1:11" ht="12.75" x14ac:dyDescent="0.2">
      <c r="A517">
        <v>516</v>
      </c>
      <c r="B517" s="6" t="s">
        <v>1806</v>
      </c>
      <c r="C517" s="6" t="s">
        <v>1807</v>
      </c>
      <c r="D517" s="6" t="s">
        <v>1805</v>
      </c>
      <c r="E517" s="7"/>
      <c r="F517" s="7"/>
      <c r="G517" s="7"/>
      <c r="H517" s="7"/>
      <c r="I517" s="7"/>
      <c r="J517" s="7"/>
      <c r="K517">
        <v>1</v>
      </c>
    </row>
    <row r="518" spans="1:11" ht="12.75" x14ac:dyDescent="0.2">
      <c r="A518">
        <v>517</v>
      </c>
      <c r="B518" s="6" t="s">
        <v>1809</v>
      </c>
      <c r="C518" s="6" t="s">
        <v>1810</v>
      </c>
      <c r="D518" s="6" t="s">
        <v>1808</v>
      </c>
      <c r="E518" s="7"/>
      <c r="F518" s="7"/>
      <c r="G518" s="7"/>
      <c r="H518" s="7"/>
      <c r="I518" s="7"/>
      <c r="J518" s="7"/>
      <c r="K518">
        <v>1</v>
      </c>
    </row>
    <row r="519" spans="1:11" ht="12.75" x14ac:dyDescent="0.2">
      <c r="A519">
        <v>518</v>
      </c>
      <c r="B519" s="6" t="s">
        <v>1812</v>
      </c>
      <c r="C519" s="6" t="s">
        <v>1813</v>
      </c>
      <c r="D519" s="6" t="s">
        <v>1811</v>
      </c>
      <c r="E519" s="8" t="str">
        <f>HYPERLINK("https://twitter.com/blasko1313","@Blasko1313")</f>
        <v>@Blasko1313</v>
      </c>
      <c r="F519" s="8" t="str">
        <f>HYPERLINK("http://instagram.com/blasko1313","@Blasko1313")</f>
        <v>@Blasko1313</v>
      </c>
      <c r="G519" s="7"/>
      <c r="H519" s="6" t="s">
        <v>1814</v>
      </c>
      <c r="I519" s="6" t="s">
        <v>1815</v>
      </c>
      <c r="J519" s="7"/>
      <c r="K519">
        <v>1</v>
      </c>
    </row>
    <row r="520" spans="1:11" ht="12.75" x14ac:dyDescent="0.2">
      <c r="A520">
        <v>519</v>
      </c>
      <c r="B520" s="6" t="s">
        <v>1817</v>
      </c>
      <c r="C520" s="6" t="s">
        <v>1818</v>
      </c>
      <c r="D520" s="6" t="s">
        <v>1816</v>
      </c>
      <c r="E520" s="7"/>
      <c r="F520" s="7"/>
      <c r="G520" s="7"/>
      <c r="H520" s="7"/>
      <c r="I520" s="7"/>
      <c r="J520" s="7"/>
      <c r="K520">
        <v>1</v>
      </c>
    </row>
    <row r="521" spans="1:11" ht="12.75" x14ac:dyDescent="0.2">
      <c r="A521">
        <v>520</v>
      </c>
      <c r="B521" s="6" t="s">
        <v>1820</v>
      </c>
      <c r="C521" s="6" t="s">
        <v>1821</v>
      </c>
      <c r="D521" s="6" t="s">
        <v>1819</v>
      </c>
      <c r="E521" s="7"/>
      <c r="F521" s="7"/>
      <c r="G521" s="7"/>
      <c r="H521" s="7"/>
      <c r="I521" s="7"/>
      <c r="J521" s="7"/>
      <c r="K521">
        <v>1</v>
      </c>
    </row>
    <row r="522" spans="1:11" ht="12.75" x14ac:dyDescent="0.2">
      <c r="A522">
        <v>521</v>
      </c>
      <c r="B522" s="6" t="s">
        <v>1823</v>
      </c>
      <c r="C522" s="6" t="s">
        <v>1824</v>
      </c>
      <c r="D522" s="6" t="s">
        <v>1822</v>
      </c>
      <c r="E522" s="7"/>
      <c r="F522" s="7"/>
      <c r="G522" s="7"/>
      <c r="H522" s="7"/>
      <c r="I522" s="7"/>
      <c r="J522" s="7"/>
      <c r="K522">
        <v>1</v>
      </c>
    </row>
    <row r="523" spans="1:11" ht="12.75" x14ac:dyDescent="0.2">
      <c r="A523">
        <v>522</v>
      </c>
      <c r="B523" s="6" t="s">
        <v>1826</v>
      </c>
      <c r="C523" s="6" t="s">
        <v>1827</v>
      </c>
      <c r="D523" s="6" t="s">
        <v>1825</v>
      </c>
      <c r="E523" s="7"/>
      <c r="F523" s="7"/>
      <c r="G523" s="7"/>
      <c r="H523" s="7"/>
      <c r="I523" s="7"/>
      <c r="J523" s="7"/>
      <c r="K523">
        <v>1</v>
      </c>
    </row>
    <row r="524" spans="1:11" ht="12.75" x14ac:dyDescent="0.2">
      <c r="A524">
        <v>523</v>
      </c>
      <c r="B524" s="6" t="s">
        <v>1829</v>
      </c>
      <c r="C524" s="6" t="s">
        <v>1830</v>
      </c>
      <c r="D524" s="6" t="s">
        <v>1828</v>
      </c>
      <c r="E524" s="7"/>
      <c r="F524" s="7"/>
      <c r="G524" s="7"/>
      <c r="H524" s="7"/>
      <c r="I524" s="7"/>
      <c r="J524" s="7"/>
      <c r="K524">
        <v>1</v>
      </c>
    </row>
    <row r="525" spans="1:11" ht="12.75" x14ac:dyDescent="0.2">
      <c r="A525">
        <v>524</v>
      </c>
      <c r="B525" s="6" t="s">
        <v>1832</v>
      </c>
      <c r="C525" s="6" t="s">
        <v>1833</v>
      </c>
      <c r="D525" s="6" t="s">
        <v>1831</v>
      </c>
      <c r="E525" s="7"/>
      <c r="F525" s="7"/>
      <c r="G525" s="7"/>
      <c r="H525" s="7"/>
      <c r="I525" s="7"/>
      <c r="J525" s="7"/>
      <c r="K525">
        <v>1</v>
      </c>
    </row>
    <row r="526" spans="1:11" ht="12.75" x14ac:dyDescent="0.2">
      <c r="A526">
        <v>525</v>
      </c>
      <c r="B526" s="6" t="s">
        <v>1835</v>
      </c>
      <c r="C526" s="6" t="s">
        <v>1836</v>
      </c>
      <c r="D526" s="6" t="s">
        <v>1834</v>
      </c>
      <c r="E526" s="7"/>
      <c r="F526" s="7"/>
      <c r="G526" s="7"/>
      <c r="H526" s="7"/>
      <c r="I526" s="7"/>
      <c r="J526" s="7"/>
      <c r="K526">
        <v>1</v>
      </c>
    </row>
    <row r="527" spans="1:11" ht="12.75" x14ac:dyDescent="0.2">
      <c r="A527">
        <v>526</v>
      </c>
      <c r="B527" s="6" t="s">
        <v>1838</v>
      </c>
      <c r="C527" s="6" t="s">
        <v>1839</v>
      </c>
      <c r="D527" s="6" t="s">
        <v>1837</v>
      </c>
      <c r="E527" s="7"/>
      <c r="F527" s="7"/>
      <c r="G527" s="7"/>
      <c r="H527" s="7"/>
      <c r="I527" s="7"/>
      <c r="J527" s="7"/>
      <c r="K527">
        <v>1</v>
      </c>
    </row>
    <row r="528" spans="1:11" ht="12.75" x14ac:dyDescent="0.2">
      <c r="A528">
        <v>527</v>
      </c>
      <c r="B528" s="6" t="s">
        <v>1841</v>
      </c>
      <c r="C528" s="6" t="s">
        <v>1842</v>
      </c>
      <c r="D528" s="6" t="s">
        <v>1840</v>
      </c>
      <c r="E528" s="7"/>
      <c r="F528" s="7"/>
      <c r="G528" s="7"/>
      <c r="H528" s="7"/>
      <c r="I528" s="7"/>
      <c r="J528" s="7"/>
      <c r="K528">
        <v>1</v>
      </c>
    </row>
    <row r="529" spans="1:11" ht="12.75" x14ac:dyDescent="0.2">
      <c r="A529">
        <v>528</v>
      </c>
      <c r="B529" s="6" t="s">
        <v>1844</v>
      </c>
      <c r="C529" s="6" t="s">
        <v>1845</v>
      </c>
      <c r="D529" s="6" t="s">
        <v>1843</v>
      </c>
      <c r="E529" s="7"/>
      <c r="F529" s="7"/>
      <c r="G529" s="7"/>
      <c r="H529" s="7"/>
      <c r="I529" s="7"/>
      <c r="J529" s="7"/>
      <c r="K529">
        <v>1</v>
      </c>
    </row>
    <row r="530" spans="1:11" ht="12.75" x14ac:dyDescent="0.2">
      <c r="A530">
        <v>529</v>
      </c>
      <c r="B530" s="6" t="s">
        <v>1847</v>
      </c>
      <c r="C530" s="6" t="s">
        <v>1848</v>
      </c>
      <c r="D530" s="6" t="s">
        <v>1846</v>
      </c>
      <c r="E530" s="7"/>
      <c r="F530" s="8" t="str">
        <f>HYPERLINK("http://instagram.com/truechief77","@truechief77")</f>
        <v>@truechief77</v>
      </c>
      <c r="G530" s="7"/>
      <c r="H530" s="6" t="s">
        <v>1849</v>
      </c>
      <c r="I530" s="7"/>
      <c r="J530" s="7"/>
      <c r="K530">
        <v>1</v>
      </c>
    </row>
    <row r="531" spans="1:11" ht="12.75" x14ac:dyDescent="0.2">
      <c r="A531">
        <v>530</v>
      </c>
      <c r="B531" s="6" t="s">
        <v>1851</v>
      </c>
      <c r="C531" s="6" t="s">
        <v>1852</v>
      </c>
      <c r="D531" s="6" t="s">
        <v>1850</v>
      </c>
      <c r="E531" s="8" t="str">
        <f>HYPERLINK("https://twitter.com/queefleprecaun","@queefleprecaun")</f>
        <v>@queefleprecaun</v>
      </c>
      <c r="F531" s="8" t="str">
        <f>HYPERLINK("http://instagram.com/stephenmccr","@stephenmccr")</f>
        <v>@stephenmccr</v>
      </c>
      <c r="G531" s="7"/>
      <c r="H531" s="6" t="s">
        <v>1853</v>
      </c>
      <c r="I531" s="7"/>
      <c r="J531" s="7"/>
      <c r="K531">
        <v>1</v>
      </c>
    </row>
    <row r="532" spans="1:11" ht="12.75" x14ac:dyDescent="0.2">
      <c r="A532">
        <v>531</v>
      </c>
      <c r="B532" s="6" t="s">
        <v>1855</v>
      </c>
      <c r="C532" s="6" t="s">
        <v>1856</v>
      </c>
      <c r="D532" s="6" t="s">
        <v>1854</v>
      </c>
      <c r="E532" s="8" t="str">
        <f>HYPERLINK("https://twitter.com/Sabotage70","@Sabotage70")</f>
        <v>@Sabotage70</v>
      </c>
      <c r="F532" s="8" t="str">
        <f>HYPERLINK("http://instagram.com/Sabotage70","@Sabotage70")</f>
        <v>@Sabotage70</v>
      </c>
      <c r="G532" s="7"/>
      <c r="H532" s="6" t="s">
        <v>1857</v>
      </c>
      <c r="I532" s="7"/>
      <c r="J532" s="7"/>
      <c r="K532">
        <v>1</v>
      </c>
    </row>
    <row r="533" spans="1:11" ht="12.75" x14ac:dyDescent="0.2">
      <c r="A533">
        <v>532</v>
      </c>
      <c r="B533" s="6" t="s">
        <v>1859</v>
      </c>
      <c r="C533" s="6" t="s">
        <v>1860</v>
      </c>
      <c r="D533" s="6" t="s">
        <v>1858</v>
      </c>
      <c r="E533" s="7"/>
      <c r="F533" s="7"/>
      <c r="G533" s="7"/>
      <c r="H533" s="7"/>
      <c r="I533" s="7"/>
      <c r="J533" s="7"/>
      <c r="K533">
        <v>1</v>
      </c>
    </row>
    <row r="534" spans="1:11" ht="12.75" x14ac:dyDescent="0.2">
      <c r="A534">
        <v>533</v>
      </c>
      <c r="B534" s="6" t="s">
        <v>1862</v>
      </c>
      <c r="C534" s="6" t="s">
        <v>1863</v>
      </c>
      <c r="D534" s="6" t="s">
        <v>1861</v>
      </c>
      <c r="E534" s="7"/>
      <c r="F534" s="7"/>
      <c r="G534" s="7"/>
      <c r="H534" s="7"/>
      <c r="I534" s="7"/>
      <c r="J534" s="7"/>
      <c r="K534">
        <v>1</v>
      </c>
    </row>
    <row r="535" spans="1:11" ht="12.75" x14ac:dyDescent="0.2">
      <c r="A535">
        <v>534</v>
      </c>
      <c r="B535" s="6" t="s">
        <v>1865</v>
      </c>
      <c r="C535" s="6" t="s">
        <v>1866</v>
      </c>
      <c r="D535" s="6" t="s">
        <v>1864</v>
      </c>
      <c r="E535" s="7"/>
      <c r="F535" s="7"/>
      <c r="G535" s="7"/>
      <c r="H535" s="7"/>
      <c r="I535" s="7"/>
      <c r="J535" s="7"/>
      <c r="K535">
        <v>1</v>
      </c>
    </row>
    <row r="536" spans="1:11" ht="12.75" x14ac:dyDescent="0.2">
      <c r="A536">
        <v>535</v>
      </c>
      <c r="B536" s="6" t="s">
        <v>1868</v>
      </c>
      <c r="C536" s="6" t="s">
        <v>1869</v>
      </c>
      <c r="D536" s="6" t="s">
        <v>1867</v>
      </c>
      <c r="E536" s="7"/>
      <c r="F536" s="7"/>
      <c r="G536" s="7"/>
      <c r="H536" s="7"/>
      <c r="I536" s="7"/>
      <c r="J536" s="7"/>
      <c r="K536">
        <v>1</v>
      </c>
    </row>
    <row r="537" spans="1:11" ht="12.75" x14ac:dyDescent="0.2">
      <c r="A537">
        <v>536</v>
      </c>
      <c r="B537" s="6" t="s">
        <v>1871</v>
      </c>
      <c r="C537" s="6" t="s">
        <v>1872</v>
      </c>
      <c r="D537" s="6" t="s">
        <v>1870</v>
      </c>
      <c r="E537" s="7"/>
      <c r="F537" s="7"/>
      <c r="G537" s="7"/>
      <c r="H537" s="7"/>
      <c r="I537" s="7"/>
      <c r="J537" s="7"/>
      <c r="K537">
        <v>1</v>
      </c>
    </row>
    <row r="538" spans="1:11" ht="12.75" x14ac:dyDescent="0.2">
      <c r="A538">
        <v>537</v>
      </c>
      <c r="B538" s="6" t="s">
        <v>1874</v>
      </c>
      <c r="C538" s="6" t="s">
        <v>1875</v>
      </c>
      <c r="D538" s="6" t="s">
        <v>1873</v>
      </c>
      <c r="E538" s="7"/>
      <c r="F538" s="7"/>
      <c r="G538" s="7"/>
      <c r="H538" s="7"/>
      <c r="I538" s="7"/>
      <c r="J538" s="7"/>
      <c r="K538">
        <v>1</v>
      </c>
    </row>
    <row r="539" spans="1:11" ht="12.75" x14ac:dyDescent="0.2">
      <c r="A539">
        <v>538</v>
      </c>
      <c r="B539" s="6" t="s">
        <v>1877</v>
      </c>
      <c r="C539" s="6" t="s">
        <v>1878</v>
      </c>
      <c r="D539" s="6" t="s">
        <v>1876</v>
      </c>
      <c r="E539" s="8" t="str">
        <f>HYPERLINK("https://twitter.com/TheWoodswoman","@TheWoodswoman")</f>
        <v>@TheWoodswoman</v>
      </c>
      <c r="F539" s="8" t="str">
        <f>HYPERLINK("http://instagram.com/thewoodswoman","@TheWoodswoman")</f>
        <v>@TheWoodswoman</v>
      </c>
      <c r="G539" s="6" t="s">
        <v>1880</v>
      </c>
      <c r="H539" s="6" t="s">
        <v>1879</v>
      </c>
      <c r="I539" s="6" t="s">
        <v>1881</v>
      </c>
      <c r="J539" s="7"/>
      <c r="K539">
        <v>1</v>
      </c>
    </row>
    <row r="540" spans="1:11" ht="12.75" x14ac:dyDescent="0.2">
      <c r="A540">
        <v>539</v>
      </c>
      <c r="B540" s="6" t="s">
        <v>1883</v>
      </c>
      <c r="C540" s="6" t="s">
        <v>1884</v>
      </c>
      <c r="D540" s="6" t="s">
        <v>1882</v>
      </c>
      <c r="E540" s="8" t="str">
        <f>HYPERLINK("https://twitter.com/J_Chappel","@J_Chappel")</f>
        <v>@J_Chappel</v>
      </c>
      <c r="F540" s="8" t="str">
        <f>HYPERLINK("http://instagram.com/wk_thomas_hayden_chappel","wk_thomas_hayden_chappel")</f>
        <v>wk_thomas_hayden_chappel</v>
      </c>
      <c r="G540" s="6" t="s">
        <v>1886</v>
      </c>
      <c r="H540" s="6" t="s">
        <v>1885</v>
      </c>
      <c r="I540" s="6" t="s">
        <v>1887</v>
      </c>
      <c r="J540" s="7"/>
      <c r="K540">
        <v>1</v>
      </c>
    </row>
    <row r="541" spans="1:11" ht="12.75" x14ac:dyDescent="0.2">
      <c r="A541">
        <v>540</v>
      </c>
      <c r="B541" s="6" t="s">
        <v>1889</v>
      </c>
      <c r="C541" s="6" t="s">
        <v>1890</v>
      </c>
      <c r="D541" s="6" t="s">
        <v>1888</v>
      </c>
      <c r="E541" s="8" t="str">
        <f>HYPERLINK("https://twitter.com/cdika17","@cdika17")</f>
        <v>@cdika17</v>
      </c>
      <c r="F541" s="7"/>
      <c r="G541" s="6" t="s">
        <v>1892</v>
      </c>
      <c r="H541" s="6" t="s">
        <v>1891</v>
      </c>
      <c r="I541" s="7"/>
      <c r="J541" s="7"/>
      <c r="K541">
        <v>1</v>
      </c>
    </row>
    <row r="542" spans="1:11" ht="12.75" x14ac:dyDescent="0.2">
      <c r="A542">
        <v>541</v>
      </c>
      <c r="B542" s="6" t="s">
        <v>1894</v>
      </c>
      <c r="C542" s="6"/>
      <c r="D542" s="6" t="s">
        <v>1893</v>
      </c>
      <c r="E542" s="8" t="str">
        <f>HYPERLINK("https://twitter.com/webes44","@webes44")</f>
        <v>@webes44</v>
      </c>
      <c r="F542" s="8" t="str">
        <f>HYPERLINK("http://instagram.com/tinwacker","@tinwacker")</f>
        <v>@tinwacker</v>
      </c>
      <c r="G542" s="6" t="s">
        <v>1896</v>
      </c>
      <c r="H542" s="6" t="s">
        <v>1895</v>
      </c>
      <c r="I542" s="6" t="s">
        <v>1897</v>
      </c>
      <c r="J542" s="7"/>
      <c r="K542">
        <v>1</v>
      </c>
    </row>
    <row r="543" spans="1:11" ht="12.75" x14ac:dyDescent="0.2">
      <c r="A543">
        <v>542</v>
      </c>
      <c r="B543" s="6" t="s">
        <v>1899</v>
      </c>
      <c r="C543" s="6" t="s">
        <v>1900</v>
      </c>
      <c r="D543" s="6" t="s">
        <v>1898</v>
      </c>
      <c r="E543" s="7"/>
      <c r="F543" s="7"/>
      <c r="G543" s="7"/>
      <c r="H543" s="7"/>
      <c r="I543" s="7"/>
      <c r="J543" s="7"/>
      <c r="K543">
        <v>1</v>
      </c>
    </row>
    <row r="544" spans="1:11" ht="12.75" x14ac:dyDescent="0.2">
      <c r="A544">
        <v>543</v>
      </c>
      <c r="B544" s="6" t="s">
        <v>1902</v>
      </c>
      <c r="C544" s="6" t="s">
        <v>1903</v>
      </c>
      <c r="D544" s="6" t="s">
        <v>1901</v>
      </c>
      <c r="E544" s="8" t="str">
        <f>HYPERLINK("https://twitter.com/kikkiluvsracing","@kikkiluvsracing")</f>
        <v>@kikkiluvsracing</v>
      </c>
      <c r="F544" s="8" t="str">
        <f>HYPERLINK("http://instagram.com/kikkiluvsracing","@kikkiluvsracing")</f>
        <v>@kikkiluvsracing</v>
      </c>
      <c r="G544" s="6" t="s">
        <v>1905</v>
      </c>
      <c r="H544" s="6" t="s">
        <v>1904</v>
      </c>
      <c r="I544" s="7"/>
      <c r="J544" s="7"/>
      <c r="K544">
        <v>1</v>
      </c>
    </row>
    <row r="545" spans="1:11" ht="12.75" x14ac:dyDescent="0.2">
      <c r="A545">
        <v>544</v>
      </c>
      <c r="B545" s="6" t="s">
        <v>1907</v>
      </c>
      <c r="C545" s="6" t="s">
        <v>1908</v>
      </c>
      <c r="D545" s="6" t="s">
        <v>1906</v>
      </c>
      <c r="E545" s="7"/>
      <c r="F545" s="7"/>
      <c r="G545" s="7"/>
      <c r="H545" s="7"/>
      <c r="I545" s="7"/>
      <c r="J545" s="7"/>
      <c r="K545">
        <v>1</v>
      </c>
    </row>
    <row r="546" spans="1:11" ht="12.75" x14ac:dyDescent="0.2">
      <c r="A546">
        <v>545</v>
      </c>
      <c r="B546" s="6" t="s">
        <v>1910</v>
      </c>
      <c r="C546" s="6" t="s">
        <v>1911</v>
      </c>
      <c r="D546" s="6" t="s">
        <v>1909</v>
      </c>
      <c r="E546" s="7"/>
      <c r="F546" s="7"/>
      <c r="G546" s="7"/>
      <c r="H546" s="7"/>
      <c r="I546" s="7"/>
      <c r="J546" s="7"/>
      <c r="K546">
        <v>1</v>
      </c>
    </row>
    <row r="547" spans="1:11" ht="12.75" x14ac:dyDescent="0.2">
      <c r="A547">
        <v>546</v>
      </c>
      <c r="B547" s="6" t="s">
        <v>1913</v>
      </c>
      <c r="C547" s="6" t="s">
        <v>1914</v>
      </c>
      <c r="D547" s="6" t="s">
        <v>1912</v>
      </c>
      <c r="E547" s="7"/>
      <c r="F547" s="7"/>
      <c r="G547" s="7"/>
      <c r="H547" s="7"/>
      <c r="I547" s="7"/>
      <c r="J547" s="7"/>
      <c r="K547">
        <v>1</v>
      </c>
    </row>
    <row r="548" spans="1:11" ht="12.75" x14ac:dyDescent="0.2">
      <c r="A548">
        <v>547</v>
      </c>
      <c r="B548" s="6" t="s">
        <v>1916</v>
      </c>
      <c r="C548" s="6" t="s">
        <v>1917</v>
      </c>
      <c r="D548" s="6" t="s">
        <v>1915</v>
      </c>
      <c r="E548" s="7"/>
      <c r="F548" s="7"/>
      <c r="G548" s="7"/>
      <c r="H548" s="7"/>
      <c r="I548" s="7"/>
      <c r="J548" s="7"/>
      <c r="K548">
        <v>1</v>
      </c>
    </row>
    <row r="549" spans="1:11" ht="12.75" x14ac:dyDescent="0.2">
      <c r="A549">
        <v>548</v>
      </c>
      <c r="B549" s="6" t="s">
        <v>1919</v>
      </c>
      <c r="C549" s="6" t="s">
        <v>1920</v>
      </c>
      <c r="D549" s="6" t="s">
        <v>1918</v>
      </c>
      <c r="E549" s="7"/>
      <c r="F549" s="7"/>
      <c r="G549" s="7"/>
      <c r="H549" s="7"/>
      <c r="I549" s="7"/>
      <c r="J549" s="7"/>
      <c r="K549">
        <v>1</v>
      </c>
    </row>
    <row r="550" spans="1:11" ht="12.75" x14ac:dyDescent="0.2">
      <c r="A550">
        <v>549</v>
      </c>
      <c r="B550" s="6" t="s">
        <v>1922</v>
      </c>
      <c r="C550" s="6" t="s">
        <v>1923</v>
      </c>
      <c r="D550" s="6" t="s">
        <v>1921</v>
      </c>
      <c r="E550" s="7"/>
      <c r="F550" s="7"/>
      <c r="G550" s="7"/>
      <c r="H550" s="7"/>
      <c r="I550" s="7"/>
      <c r="J550" s="7"/>
      <c r="K550">
        <v>1</v>
      </c>
    </row>
    <row r="551" spans="1:11" ht="12.75" x14ac:dyDescent="0.2">
      <c r="A551">
        <v>550</v>
      </c>
      <c r="B551" s="6" t="s">
        <v>1925</v>
      </c>
      <c r="C551" s="6" t="s">
        <v>1926</v>
      </c>
      <c r="D551" s="6" t="s">
        <v>1924</v>
      </c>
      <c r="E551" s="8" t="str">
        <f>HYPERLINK("https://twitter.com/atmbcool","@atmbcool")</f>
        <v>@atmbcool</v>
      </c>
      <c r="F551" s="8" t="str">
        <f>HYPERLINK("http://instagram.com/tripletee","@tripletee")</f>
        <v>@tripletee</v>
      </c>
      <c r="G551" s="7"/>
      <c r="H551" s="6" t="s">
        <v>1927</v>
      </c>
      <c r="I551" s="7"/>
      <c r="J551" s="7"/>
      <c r="K551">
        <v>1</v>
      </c>
    </row>
    <row r="552" spans="1:11" ht="12.75" x14ac:dyDescent="0.2">
      <c r="A552">
        <v>551</v>
      </c>
      <c r="B552" s="6" t="s">
        <v>1929</v>
      </c>
      <c r="C552" s="6" t="s">
        <v>1930</v>
      </c>
      <c r="D552" s="6" t="s">
        <v>1928</v>
      </c>
      <c r="E552" s="7"/>
      <c r="F552" s="7"/>
      <c r="G552" s="7"/>
      <c r="H552" s="7"/>
      <c r="I552" s="7"/>
      <c r="J552" s="7"/>
      <c r="K552">
        <v>1</v>
      </c>
    </row>
    <row r="553" spans="1:11" ht="12.75" x14ac:dyDescent="0.2">
      <c r="A553">
        <v>552</v>
      </c>
      <c r="B553" s="6" t="s">
        <v>1932</v>
      </c>
      <c r="C553" s="6" t="s">
        <v>1933</v>
      </c>
      <c r="D553" s="6" t="s">
        <v>1931</v>
      </c>
      <c r="E553" s="8" t="str">
        <f>HYPERLINK("https://twitter.com/cantskateanymre","@cantskateanymre")</f>
        <v>@cantskateanymre</v>
      </c>
      <c r="F553" s="8" t="str">
        <f>HYPERLINK("http://instagram.com/cantsk8rds","@cantsk8rds")</f>
        <v>@cantsk8rds</v>
      </c>
      <c r="G553" s="7"/>
      <c r="H553" s="6" t="s">
        <v>1934</v>
      </c>
      <c r="I553" s="7"/>
      <c r="J553" s="7"/>
      <c r="K553">
        <v>1</v>
      </c>
    </row>
    <row r="554" spans="1:11" ht="12.75" x14ac:dyDescent="0.2">
      <c r="A554">
        <v>553</v>
      </c>
      <c r="B554" s="6" t="s">
        <v>1936</v>
      </c>
      <c r="C554" s="6" t="s">
        <v>1937</v>
      </c>
      <c r="D554" s="6" t="s">
        <v>1935</v>
      </c>
      <c r="E554" s="7"/>
      <c r="F554" s="7"/>
      <c r="G554" s="7"/>
      <c r="H554" s="7"/>
      <c r="I554" s="7"/>
      <c r="J554" s="7"/>
      <c r="K554">
        <v>1</v>
      </c>
    </row>
    <row r="555" spans="1:11" ht="12.75" x14ac:dyDescent="0.2">
      <c r="A555">
        <v>554</v>
      </c>
      <c r="B555" s="6" t="s">
        <v>1939</v>
      </c>
      <c r="C555" s="6" t="s">
        <v>1940</v>
      </c>
      <c r="D555" s="6" t="s">
        <v>1938</v>
      </c>
      <c r="E555" s="7"/>
      <c r="F555" s="7"/>
      <c r="G555" s="7"/>
      <c r="H555" s="7"/>
      <c r="I555" s="7"/>
      <c r="J555" s="7"/>
      <c r="K555">
        <v>1</v>
      </c>
    </row>
    <row r="556" spans="1:11" ht="12.75" x14ac:dyDescent="0.2">
      <c r="A556">
        <v>555</v>
      </c>
      <c r="B556" s="6" t="s">
        <v>1942</v>
      </c>
      <c r="C556" s="6" t="s">
        <v>1943</v>
      </c>
      <c r="D556" s="6" t="s">
        <v>1941</v>
      </c>
      <c r="E556" s="8" t="str">
        <f>HYPERLINK("https://twitter.com/Truk_Norris","@Truk_Norris")</f>
        <v>@Truk_Norris</v>
      </c>
      <c r="F556" s="7"/>
      <c r="G556" s="7"/>
      <c r="H556" s="6" t="s">
        <v>1944</v>
      </c>
      <c r="I556" s="7"/>
      <c r="J556" s="7"/>
      <c r="K556">
        <v>1</v>
      </c>
    </row>
    <row r="557" spans="1:11" ht="12.75" x14ac:dyDescent="0.2">
      <c r="A557">
        <v>556</v>
      </c>
      <c r="B557" s="6" t="s">
        <v>1946</v>
      </c>
      <c r="C557" s="6" t="s">
        <v>1947</v>
      </c>
      <c r="D557" s="6" t="s">
        <v>1945</v>
      </c>
      <c r="E557" s="7"/>
      <c r="F557" s="7"/>
      <c r="G557" s="7"/>
      <c r="H557" s="7"/>
      <c r="I557" s="7"/>
      <c r="J557" s="7"/>
      <c r="K557">
        <v>1</v>
      </c>
    </row>
    <row r="558" spans="1:11" ht="12.75" x14ac:dyDescent="0.2">
      <c r="A558">
        <v>557</v>
      </c>
      <c r="B558" s="6" t="s">
        <v>1949</v>
      </c>
      <c r="C558" s="6" t="s">
        <v>1950</v>
      </c>
      <c r="D558" s="6" t="s">
        <v>1948</v>
      </c>
      <c r="E558" s="8" t="str">
        <f>HYPERLINK("https://twitter.com/tubeinspecter","@tubeinspecter")</f>
        <v>@tubeinspecter</v>
      </c>
      <c r="F558" s="8" t="str">
        <f>HYPERLINK("http://instagram.com/tubinspecter","@tubinspecter")</f>
        <v>@tubinspecter</v>
      </c>
      <c r="G558" s="6" t="s">
        <v>1952</v>
      </c>
      <c r="H558" s="6" t="s">
        <v>1951</v>
      </c>
      <c r="I558" s="7"/>
      <c r="J558" s="7"/>
      <c r="K558">
        <v>1</v>
      </c>
    </row>
    <row r="559" spans="1:11" ht="12.75" x14ac:dyDescent="0.2">
      <c r="A559">
        <v>558</v>
      </c>
      <c r="B559" s="6" t="s">
        <v>1954</v>
      </c>
      <c r="C559" s="6" t="s">
        <v>1955</v>
      </c>
      <c r="D559" s="6" t="s">
        <v>1953</v>
      </c>
      <c r="E559" s="7"/>
      <c r="F559" s="7"/>
      <c r="G559" s="7"/>
      <c r="H559" s="7"/>
      <c r="I559" s="7"/>
      <c r="J559" s="7"/>
      <c r="K559">
        <v>1</v>
      </c>
    </row>
    <row r="560" spans="1:11" ht="12.75" x14ac:dyDescent="0.2">
      <c r="A560">
        <v>559</v>
      </c>
      <c r="B560" s="6" t="s">
        <v>1957</v>
      </c>
      <c r="C560" s="6" t="s">
        <v>1958</v>
      </c>
      <c r="D560" s="6" t="s">
        <v>1956</v>
      </c>
      <c r="E560" s="7"/>
      <c r="F560" s="7"/>
      <c r="G560" s="7"/>
      <c r="H560" s="7"/>
      <c r="I560" s="7"/>
      <c r="J560" s="7"/>
      <c r="K560">
        <v>1</v>
      </c>
    </row>
    <row r="561" spans="1:11" ht="12.75" x14ac:dyDescent="0.2">
      <c r="A561">
        <v>560</v>
      </c>
      <c r="B561" s="6" t="s">
        <v>1960</v>
      </c>
      <c r="C561" s="6" t="s">
        <v>1961</v>
      </c>
      <c r="D561" s="6" t="s">
        <v>1959</v>
      </c>
      <c r="E561" s="7"/>
      <c r="F561" s="7"/>
      <c r="G561" s="7"/>
      <c r="H561" s="7"/>
      <c r="I561" s="7"/>
      <c r="J561" s="7"/>
      <c r="K561">
        <v>1</v>
      </c>
    </row>
    <row r="562" spans="1:11" ht="12.75" x14ac:dyDescent="0.2">
      <c r="A562">
        <v>561</v>
      </c>
      <c r="B562" s="6" t="s">
        <v>1963</v>
      </c>
      <c r="C562" s="6" t="s">
        <v>1964</v>
      </c>
      <c r="D562" s="6" t="s">
        <v>1962</v>
      </c>
      <c r="E562" s="7"/>
      <c r="F562" s="7"/>
      <c r="G562" s="7"/>
      <c r="H562" s="7"/>
      <c r="I562" s="7"/>
      <c r="J562" s="7"/>
      <c r="K562">
        <v>1</v>
      </c>
    </row>
    <row r="563" spans="1:11" ht="12.75" x14ac:dyDescent="0.2">
      <c r="A563">
        <v>562</v>
      </c>
      <c r="B563" s="6" t="s">
        <v>1966</v>
      </c>
      <c r="C563" s="6" t="s">
        <v>1967</v>
      </c>
      <c r="D563" s="6" t="s">
        <v>1965</v>
      </c>
      <c r="E563" s="8" t="str">
        <f>HYPERLINK("https://twitter.com/TwistedMetalFab","@twistedmetalfab")</f>
        <v>@twistedmetalfab</v>
      </c>
      <c r="F563" s="8" t="str">
        <f>HYPERLINK("http://instagram.com/twistedmetalfab","@twistedmetalfab")</f>
        <v>@twistedmetalfab</v>
      </c>
      <c r="G563" s="6" t="s">
        <v>1969</v>
      </c>
      <c r="H563" s="6" t="s">
        <v>1968</v>
      </c>
      <c r="I563" s="6" t="s">
        <v>1970</v>
      </c>
      <c r="J563" s="7"/>
      <c r="K563">
        <v>1</v>
      </c>
    </row>
    <row r="564" spans="1:11" ht="12.75" x14ac:dyDescent="0.2">
      <c r="A564">
        <v>563</v>
      </c>
      <c r="B564" s="6" t="s">
        <v>1972</v>
      </c>
      <c r="C564" s="6" t="s">
        <v>1973</v>
      </c>
      <c r="D564" s="6" t="s">
        <v>1971</v>
      </c>
      <c r="E564" s="7"/>
      <c r="F564" s="7"/>
      <c r="G564" s="7"/>
      <c r="H564" s="6" t="s">
        <v>1974</v>
      </c>
      <c r="I564" s="7"/>
      <c r="J564" s="7"/>
      <c r="K564">
        <v>1</v>
      </c>
    </row>
    <row r="565" spans="1:11" ht="12.75" x14ac:dyDescent="0.2">
      <c r="A565">
        <v>564</v>
      </c>
      <c r="B565" s="6" t="s">
        <v>1976</v>
      </c>
      <c r="C565" s="6" t="s">
        <v>1977</v>
      </c>
      <c r="D565" s="6" t="s">
        <v>1975</v>
      </c>
      <c r="E565" s="7"/>
      <c r="F565" s="7"/>
      <c r="G565" s="7"/>
      <c r="H565" s="7"/>
      <c r="I565" s="7"/>
      <c r="J565" s="7"/>
      <c r="K565">
        <v>1</v>
      </c>
    </row>
    <row r="566" spans="1:11" ht="12.75" x14ac:dyDescent="0.2">
      <c r="A566">
        <v>565</v>
      </c>
      <c r="B566" s="6" t="s">
        <v>1979</v>
      </c>
      <c r="C566" s="6" t="s">
        <v>1980</v>
      </c>
      <c r="D566" s="6" t="s">
        <v>1978</v>
      </c>
      <c r="E566" s="8" t="str">
        <f>HYPERLINK("https://twitter.com/ViPER_EAW","@Viper_EAW")</f>
        <v>@Viper_EAW</v>
      </c>
      <c r="F566" s="8" t="str">
        <f>HYPERLINK("http://instagram.com/viper_eaw","@Viper_EAW")</f>
        <v>@Viper_EAW</v>
      </c>
      <c r="G566" s="6" t="s">
        <v>1982</v>
      </c>
      <c r="H566" s="6" t="s">
        <v>1981</v>
      </c>
      <c r="I566" s="6" t="s">
        <v>1983</v>
      </c>
      <c r="J566" s="7"/>
      <c r="K566">
        <v>1</v>
      </c>
    </row>
    <row r="567" spans="1:11" ht="12.75" x14ac:dyDescent="0.2">
      <c r="A567">
        <v>566</v>
      </c>
      <c r="B567" s="6" t="s">
        <v>1985</v>
      </c>
      <c r="C567" s="6" t="s">
        <v>1986</v>
      </c>
      <c r="D567" s="6" t="s">
        <v>1984</v>
      </c>
      <c r="E567" s="7"/>
      <c r="F567" s="7"/>
      <c r="G567" s="7"/>
      <c r="H567" s="7"/>
      <c r="I567" s="7"/>
      <c r="J567" s="7"/>
      <c r="K567">
        <v>1</v>
      </c>
    </row>
    <row r="568" spans="1:11" ht="12.75" x14ac:dyDescent="0.2">
      <c r="A568">
        <v>567</v>
      </c>
      <c r="B568" s="6" t="s">
        <v>1988</v>
      </c>
      <c r="C568" s="6" t="s">
        <v>1989</v>
      </c>
      <c r="D568" s="6" t="s">
        <v>1987</v>
      </c>
      <c r="E568" s="7"/>
      <c r="F568" s="7"/>
      <c r="G568" s="7"/>
      <c r="H568" s="7"/>
      <c r="I568" s="7"/>
      <c r="J568" s="7"/>
      <c r="K568">
        <v>1</v>
      </c>
    </row>
    <row r="569" spans="1:11" ht="12.75" x14ac:dyDescent="0.2">
      <c r="A569">
        <v>568</v>
      </c>
      <c r="B569" s="6" t="s">
        <v>1991</v>
      </c>
      <c r="C569" s="6" t="s">
        <v>1992</v>
      </c>
      <c r="D569" s="6" t="s">
        <v>1990</v>
      </c>
      <c r="E569" s="8" t="str">
        <f>HYPERLINK("https://twitter.com/MaddTrippNz","@MaddtrippNz")</f>
        <v>@MaddtrippNz</v>
      </c>
      <c r="F569" s="7"/>
      <c r="G569" s="7"/>
      <c r="H569" s="6" t="s">
        <v>1993</v>
      </c>
      <c r="I569" s="7"/>
      <c r="J569" s="7"/>
      <c r="K569">
        <v>1</v>
      </c>
    </row>
    <row r="570" spans="1:11" ht="12.75" x14ac:dyDescent="0.2">
      <c r="A570">
        <v>569</v>
      </c>
      <c r="B570" s="6" t="s">
        <v>1995</v>
      </c>
      <c r="C570" s="6" t="s">
        <v>1996</v>
      </c>
      <c r="D570" s="6" t="s">
        <v>1994</v>
      </c>
      <c r="E570" s="7"/>
      <c r="F570" s="7"/>
      <c r="G570" s="7"/>
      <c r="H570" s="7"/>
      <c r="I570" s="7"/>
      <c r="J570" s="7"/>
      <c r="K570">
        <v>1</v>
      </c>
    </row>
    <row r="571" spans="1:11" ht="12.75" x14ac:dyDescent="0.2">
      <c r="A571">
        <v>570</v>
      </c>
      <c r="B571" s="6" t="s">
        <v>1998</v>
      </c>
      <c r="C571" s="6" t="s">
        <v>1999</v>
      </c>
      <c r="D571" s="6" t="s">
        <v>1997</v>
      </c>
      <c r="E571" s="7"/>
      <c r="F571" s="7"/>
      <c r="G571" s="7"/>
      <c r="H571" s="7"/>
      <c r="I571" s="7"/>
      <c r="J571" s="7"/>
      <c r="K571">
        <v>1</v>
      </c>
    </row>
    <row r="572" spans="1:11" ht="12.75" x14ac:dyDescent="0.2">
      <c r="A572">
        <v>571</v>
      </c>
      <c r="B572" s="6" t="s">
        <v>2001</v>
      </c>
      <c r="C572" s="6" t="s">
        <v>2002</v>
      </c>
      <c r="D572" s="6" t="s">
        <v>2000</v>
      </c>
      <c r="E572" s="8" t="str">
        <f>HYPERLINK("https://twitter.com/frontline1","@frontline1")</f>
        <v>@frontline1</v>
      </c>
      <c r="F572" s="7"/>
      <c r="G572" s="7"/>
      <c r="H572" s="6" t="s">
        <v>2003</v>
      </c>
      <c r="I572" s="7"/>
      <c r="J572" s="7"/>
      <c r="K572">
        <v>1</v>
      </c>
    </row>
    <row r="573" spans="1:11" ht="12.75" x14ac:dyDescent="0.2">
      <c r="A573">
        <v>572</v>
      </c>
      <c r="B573" s="6" t="s">
        <v>2005</v>
      </c>
      <c r="C573" s="6" t="s">
        <v>2006</v>
      </c>
      <c r="D573" s="6" t="s">
        <v>2004</v>
      </c>
      <c r="E573" s="8" t="str">
        <f>HYPERLINK("https://twitter.com/fm_fan2012","@fm_fan2012")</f>
        <v>@fm_fan2012</v>
      </c>
      <c r="F573" s="8" t="str">
        <f>HYPERLINK("http://instagram.com/pdx_fan","@PDX_FAN")</f>
        <v>@PDX_FAN</v>
      </c>
      <c r="G573" s="6" t="s">
        <v>2008</v>
      </c>
      <c r="H573" s="6" t="s">
        <v>2007</v>
      </c>
      <c r="I573" s="7"/>
      <c r="J573" s="7"/>
      <c r="K573">
        <v>1</v>
      </c>
    </row>
    <row r="574" spans="1:11" ht="12.75" x14ac:dyDescent="0.2">
      <c r="A574">
        <v>573</v>
      </c>
      <c r="B574" s="6" t="s">
        <v>2010</v>
      </c>
      <c r="C574" s="6" t="s">
        <v>2011</v>
      </c>
      <c r="D574" s="6" t="s">
        <v>2009</v>
      </c>
      <c r="E574" s="7"/>
      <c r="F574" s="7"/>
      <c r="G574" s="7"/>
      <c r="H574" s="7"/>
      <c r="I574" s="7"/>
      <c r="J574" s="7"/>
      <c r="K574">
        <v>1</v>
      </c>
    </row>
    <row r="575" spans="1:11" ht="12.75" x14ac:dyDescent="0.2">
      <c r="A575">
        <v>574</v>
      </c>
      <c r="B575" s="6" t="s">
        <v>2013</v>
      </c>
      <c r="C575" s="6" t="s">
        <v>2014</v>
      </c>
      <c r="D575" s="6" t="s">
        <v>2012</v>
      </c>
      <c r="E575" s="8" t="str">
        <f>HYPERLINK("https://twitter.com/Wolfman812","@Wolfman812")</f>
        <v>@Wolfman812</v>
      </c>
      <c r="F575" s="8" t="str">
        <f>HYPERLINK("http://instagram.com/wolfman812","@Wolfman812")</f>
        <v>@Wolfman812</v>
      </c>
      <c r="G575" s="6" t="s">
        <v>2016</v>
      </c>
      <c r="H575" s="6" t="s">
        <v>2015</v>
      </c>
      <c r="I575" s="6" t="s">
        <v>2017</v>
      </c>
      <c r="J575" s="7"/>
      <c r="K575">
        <v>1</v>
      </c>
    </row>
    <row r="576" spans="1:11" ht="12.75" x14ac:dyDescent="0.2">
      <c r="A576">
        <v>575</v>
      </c>
      <c r="B576" s="6" t="s">
        <v>2019</v>
      </c>
      <c r="C576" s="6" t="s">
        <v>2020</v>
      </c>
      <c r="D576" s="6" t="s">
        <v>2018</v>
      </c>
      <c r="E576" s="7"/>
      <c r="F576" s="7"/>
      <c r="G576" s="7"/>
      <c r="H576" s="7"/>
      <c r="I576" s="7"/>
      <c r="J576" s="7"/>
      <c r="K576">
        <v>1</v>
      </c>
    </row>
    <row r="577" spans="1:11" ht="12.75" x14ac:dyDescent="0.2">
      <c r="A577">
        <v>576</v>
      </c>
      <c r="B577" s="6" t="s">
        <v>2022</v>
      </c>
      <c r="C577" s="6" t="s">
        <v>2023</v>
      </c>
      <c r="D577" s="6" t="s">
        <v>2021</v>
      </c>
      <c r="E577" s="7"/>
      <c r="F577" s="7"/>
      <c r="G577" s="7"/>
      <c r="H577" s="7"/>
      <c r="I577" s="7"/>
      <c r="J577" s="7"/>
      <c r="K577">
        <v>1</v>
      </c>
    </row>
    <row r="578" spans="1:11" ht="12.75" x14ac:dyDescent="0.2">
      <c r="A578">
        <v>577</v>
      </c>
      <c r="B578" s="6" t="s">
        <v>2025</v>
      </c>
      <c r="C578" s="6" t="s">
        <v>2026</v>
      </c>
      <c r="D578" s="6" t="s">
        <v>2024</v>
      </c>
      <c r="E578" s="7"/>
      <c r="F578" s="7"/>
      <c r="G578" s="7"/>
      <c r="H578" s="7"/>
      <c r="I578" s="7"/>
      <c r="J578" s="7"/>
      <c r="K578">
        <v>1</v>
      </c>
    </row>
    <row r="579" spans="1:11" ht="12.75" x14ac:dyDescent="0.2">
      <c r="A579">
        <v>578</v>
      </c>
      <c r="B579" s="6" t="s">
        <v>2028</v>
      </c>
      <c r="C579" s="6" t="s">
        <v>2029</v>
      </c>
      <c r="D579" s="6" t="s">
        <v>2027</v>
      </c>
      <c r="E579" s="7"/>
      <c r="F579" s="7"/>
      <c r="G579" s="7"/>
      <c r="H579" s="7"/>
      <c r="I579" s="7"/>
      <c r="J579" s="7"/>
      <c r="K579">
        <v>1</v>
      </c>
    </row>
    <row r="580" spans="1:11" ht="12.75" x14ac:dyDescent="0.2">
      <c r="A580">
        <v>579</v>
      </c>
      <c r="B580" s="6" t="s">
        <v>2031</v>
      </c>
      <c r="C580" s="6" t="s">
        <v>2032</v>
      </c>
      <c r="D580" s="6" t="s">
        <v>2030</v>
      </c>
      <c r="E580" s="7"/>
      <c r="F580" s="7"/>
      <c r="G580" s="7"/>
      <c r="H580" s="7"/>
      <c r="I580" s="7"/>
      <c r="J580" s="7"/>
      <c r="K580">
        <v>1</v>
      </c>
    </row>
    <row r="581" spans="1:11" ht="12.75" x14ac:dyDescent="0.2">
      <c r="A581">
        <v>580</v>
      </c>
      <c r="B581" s="12" t="s">
        <v>2034</v>
      </c>
      <c r="C581" s="12" t="s">
        <v>2035</v>
      </c>
      <c r="D581" s="12" t="s">
        <v>2033</v>
      </c>
      <c r="E581" s="13" t="str">
        <f>HYPERLINK("https://twitter.com/EllisMate","@ellismate")</f>
        <v>@ellismate</v>
      </c>
      <c r="F581" s="13" t="str">
        <f>HYPERLINK("http://instagram.com/wolfmate","@wolfmate")</f>
        <v>@wolfmate</v>
      </c>
      <c r="G581" s="12" t="s">
        <v>2037</v>
      </c>
      <c r="H581" s="12" t="s">
        <v>2036</v>
      </c>
      <c r="I581" s="12" t="s">
        <v>2038</v>
      </c>
      <c r="J581" s="7"/>
      <c r="K581">
        <v>1</v>
      </c>
    </row>
    <row r="582" spans="1:11" ht="12.75" x14ac:dyDescent="0.2">
      <c r="A582">
        <v>581</v>
      </c>
      <c r="B582" s="6" t="s">
        <v>2040</v>
      </c>
      <c r="C582" s="6" t="s">
        <v>2041</v>
      </c>
      <c r="D582" s="6" t="s">
        <v>2039</v>
      </c>
      <c r="E582" s="7"/>
      <c r="F582" s="7"/>
      <c r="G582" s="7"/>
      <c r="H582" s="7"/>
      <c r="I582" s="7"/>
      <c r="J582" s="7"/>
      <c r="K582">
        <v>1</v>
      </c>
    </row>
    <row r="583" spans="1:11" ht="12.75" x14ac:dyDescent="0.2">
      <c r="A583">
        <v>582</v>
      </c>
      <c r="B583" s="6" t="s">
        <v>2043</v>
      </c>
      <c r="C583" s="6" t="s">
        <v>2044</v>
      </c>
      <c r="D583" s="6" t="s">
        <v>2042</v>
      </c>
      <c r="E583" s="7"/>
      <c r="F583" s="7"/>
      <c r="G583" s="7"/>
      <c r="H583" s="7"/>
      <c r="I583" s="7"/>
      <c r="J583" s="7"/>
      <c r="K583">
        <v>1</v>
      </c>
    </row>
  </sheetData>
  <hyperlinks>
    <hyperlink ref="G1" r:id="rId1" display="http://www.officialjasonellis.com/"/>
    <hyperlink ref="E2" r:id="rId2" display="https://twitter.com/ERiCtheBuLL"/>
    <hyperlink ref="F2" r:id="rId3" display="http://instagram.com/ericthebull"/>
    <hyperlink ref="E8" r:id="rId4" display="https://twitter.com/avenne6"/>
    <hyperlink ref="F8" r:id="rId5" display="http://instagram.com/avenne6"/>
    <hyperlink ref="E9" r:id="rId6" display="https://twitter.com/IrishJayBray"/>
    <hyperlink ref="E14" r:id="rId7" display="https://twitter.com/Treversuko"/>
    <hyperlink ref="E15" r:id="rId8" display="https://twitter.com/bowski477"/>
    <hyperlink ref="F15" r:id="rId9" display="http://instagram.com/bowski477"/>
    <hyperlink ref="E16" r:id="rId10" display="https://twitter.com/Marasta76"/>
    <hyperlink ref="F16" r:id="rId11" display="http://instagram.com/marasta"/>
    <hyperlink ref="E32" r:id="rId12" display="https://twitter.com/Schwyter89"/>
    <hyperlink ref="F32" r:id="rId13" display="http://instagram.com/beefpanther723"/>
    <hyperlink ref="E38" r:id="rId14" display="https://twitter.com/bitPimps"/>
    <hyperlink ref="F38" r:id="rId15" display="http://instagram.com/bitpimps"/>
    <hyperlink ref="E40" r:id="rId16" display="https://twitter.com/cogdeth"/>
    <hyperlink ref="F40" r:id="rId17" display="http://instagram.com/cogdeth"/>
    <hyperlink ref="E41" r:id="rId18" display="https://twitter.com/testyboy"/>
    <hyperlink ref="F41" r:id="rId19" display="http://instagram.com/Testyboy"/>
    <hyperlink ref="E42" r:id="rId20" display="https://twitter.com/rrrredragons"/>
    <hyperlink ref="E50" r:id="rId21" display="https://twitter.com/Bonk_RDS"/>
    <hyperlink ref="F50" r:id="rId22" display="http://instagram.com/bonk_rds"/>
    <hyperlink ref="E52" r:id="rId23" display="https://twitter.com/BooozyTheClown"/>
    <hyperlink ref="F52" r:id="rId24" display="http://instagram.com/BooozyTheClown"/>
    <hyperlink ref="E57" r:id="rId25" display="https://twitter.com/blotocki"/>
    <hyperlink ref="F57" r:id="rId26" display="http://instagram.com/blotocki"/>
    <hyperlink ref="E62" r:id="rId27" display="https://twitter.com/Butterballs_EM6"/>
    <hyperlink ref="F62" r:id="rId28" display="http://instagram.com/butterballs_em6"/>
    <hyperlink ref="F66" r:id="rId29" display="http://instagram.com/rdscowboy"/>
    <hyperlink ref="E70" r:id="rId30" display="https://twitter.com/geraldpringle"/>
    <hyperlink ref="F70" r:id="rId31" display="http://instagram.com/geraldpringle"/>
    <hyperlink ref="E72" r:id="rId32" display="https://twitter.com/Liqydice700"/>
    <hyperlink ref="E78" r:id="rId33" display="https://twitter.com/Missy3696"/>
    <hyperlink ref="F78" r:id="rId34" display="http://instagram.com/Missy3696"/>
    <hyperlink ref="E79" r:id="rId35" display="https://twitter.com/Fngr_Xpressions"/>
    <hyperlink ref="E81" r:id="rId36" display="https://twitter.com/clubhousandwich"/>
    <hyperlink ref="F81" r:id="rId37" display="http://instagram.com/clubhousesandwich"/>
    <hyperlink ref="E98" r:id="rId38" display="https://twitter.com/HandyCappedommy"/>
    <hyperlink ref="F98" r:id="rId39" display="http://instagram.com/handycappedommy"/>
    <hyperlink ref="E103" r:id="rId40" display="https://twitter.com/CRAZYJERR"/>
    <hyperlink ref="F103" r:id="rId41" display="http://instagram.com/CRAZYJERR"/>
    <hyperlink ref="E104" r:id="rId42" display="https://twitter.com/cringer"/>
    <hyperlink ref="F104" r:id="rId43" display="http://instagram.com/cringeworld"/>
    <hyperlink ref="E106" r:id="rId44" display="https://twitter.com/jakejeff"/>
    <hyperlink ref="F106" r:id="rId45" display="http://instagram.com/jakejeff78"/>
    <hyperlink ref="E108" r:id="rId46" display="https://twitter.com/KevinKraftSucks"/>
    <hyperlink ref="F108" r:id="rId47" display="http://instagram.com/kevinkraft/"/>
    <hyperlink ref="E110" r:id="rId48" display="https://twitter.com/Guitar455"/>
    <hyperlink ref="F110" r:id="rId49" display="http://instagram.com/hhtac88"/>
    <hyperlink ref="F113" r:id="rId50" display="http://instagram.com/stephiez88"/>
    <hyperlink ref="E114" r:id="rId51" display="https://twitter.com/DougRob70"/>
    <hyperlink ref="F114" r:id="rId52" display="http://instagram.com/dougrob70"/>
    <hyperlink ref="E117" r:id="rId53" display="https://twitter.com/JMessick82"/>
    <hyperlink ref="F117" r:id="rId54" display="http://instagram.com/JMessick82"/>
    <hyperlink ref="E121" r:id="rId55" display="https://twitter.com/Br3akpad"/>
    <hyperlink ref="F121" r:id="rId56" display="http://instagram.com/br3akpad"/>
    <hyperlink ref="E122" r:id="rId57" display="https://twitter.com/deelove55"/>
    <hyperlink ref="E123" r:id="rId58" display="https://twitter.com/jdscully"/>
    <hyperlink ref="F123" r:id="rId59" display="http://instagram.com/jdscully95"/>
    <hyperlink ref="F124" r:id="rId60" display="http://instagram.com/brett_mcdaniel"/>
    <hyperlink ref="E132" r:id="rId61" display="https://twitter.com/19mitchs88"/>
    <hyperlink ref="F132" r:id="rId62" display="http://instagram.com/19mitchs88"/>
    <hyperlink ref="E136" r:id="rId63" display="https://twitter.com/gregdevo"/>
    <hyperlink ref="F136" r:id="rId64" display="http://instagram.com/gregdevo"/>
    <hyperlink ref="E137" r:id="rId65" display="https://twitter.com/SteveTheMan_tm"/>
    <hyperlink ref="F137" r:id="rId66" display="http://instagram.com/stevetheman_tm"/>
    <hyperlink ref="E139" r:id="rId67" display="https://twitter.com/KEITHMODE"/>
    <hyperlink ref="F139" r:id="rId68" display="http://instagram.com/keithmode"/>
    <hyperlink ref="E141" r:id="rId69" display="https://twitter.com/donk3900"/>
    <hyperlink ref="F141" r:id="rId70" display="http://instagram.com/tjh133"/>
    <hyperlink ref="E143" r:id="rId71" display="https://twitter.com/thegooser"/>
    <hyperlink ref="F143" r:id="rId72" display="http://instagram.com/thegooser1"/>
    <hyperlink ref="E144" r:id="rId73" display="https://twitter.com/Richybang"/>
    <hyperlink ref="F144" r:id="rId74" display="http://instagram.com/richybang"/>
    <hyperlink ref="E148" r:id="rId75" display="https://twitter.com/Dutch_RDS"/>
    <hyperlink ref="F148" r:id="rId76" display="http://instagram.com/dutch_rds"/>
    <hyperlink ref="E150" r:id="rId77" display="https://twitter.com/jizzay_klitt"/>
    <hyperlink ref="F150" r:id="rId78" display="http://instagram.com/jizzay_klitt"/>
    <hyperlink ref="F157" r:id="rId79" display="http://instagram.com/elephant_dick"/>
    <hyperlink ref="E158" r:id="rId80" display="https://twitter.com/anthony__knight"/>
    <hyperlink ref="F158" r:id="rId81" display="http://instagram.com/rooster240"/>
    <hyperlink ref="E162" r:id="rId82" display="https://twitter.com/ihatecumfat"/>
    <hyperlink ref="E168" r:id="rId83" display="https://twitter.com/adamb2001"/>
    <hyperlink ref="F168" r:id="rId84" display="http://instagram.com/adamb2001"/>
    <hyperlink ref="E172" r:id="rId85" display="https://twitter.com/steelystevenson"/>
    <hyperlink ref="F172" r:id="rId86" display="http://instagram.com/steelystevenson"/>
    <hyperlink ref="E184" r:id="rId87" display="https://twitter.com/FonzoBlunt"/>
    <hyperlink ref="F184" r:id="rId88" display="http://instagram.com/fonzoblunt"/>
    <hyperlink ref="E191" r:id="rId89" display="https://twitter.com/KimDultz"/>
    <hyperlink ref="F191" r:id="rId90" display="http://instagram.com/kimdultz"/>
    <hyperlink ref="E194" r:id="rId91" display="https://twitter.com/Fuckasaurus_RDS"/>
    <hyperlink ref="F194" r:id="rId92" display="http://instagram.com/fuckasaurus_wolfknives"/>
    <hyperlink ref="E195" r:id="rId93" display="https://twitter.com/dcucowboy"/>
    <hyperlink ref="F195" r:id="rId94" display="http://instagram.com/evanr88"/>
    <hyperlink ref="E211" r:id="rId95" display="https://twitter.com/dardar70"/>
    <hyperlink ref="F211" r:id="rId96" display="http://instagram.com/DarDar70"/>
    <hyperlink ref="E217" r:id="rId97" display="https://twitter.com/BadChad1968"/>
    <hyperlink ref="F217" r:id="rId98" display="http://instagram.com/goatthroatx"/>
    <hyperlink ref="E218" r:id="rId99" display="https://twitter.com/mmmluckylager"/>
    <hyperlink ref="E223" r:id="rId100" display="https://twitter.com/mariocc_rds"/>
    <hyperlink ref="F223" r:id="rId101" display="http://instagram.com/mar1o_rds"/>
    <hyperlink ref="E226" r:id="rId102" display="https://twitter.com/grumpiehmt"/>
    <hyperlink ref="F226" r:id="rId103" display="http://instagram.com/grumpiehmt"/>
    <hyperlink ref="E232" r:id="rId104" display="https://twitter.com/ReynMuthaFucka/"/>
    <hyperlink ref="F232" r:id="rId105" display="http://instagram.com/ReynMuthaFucka"/>
    <hyperlink ref="E234" r:id="rId106" display="https://twitter.com/Harry_Poppins_"/>
    <hyperlink ref="F234" r:id="rId107" display="http://instagram.com/Harry_Poppins_Wolfknifes"/>
    <hyperlink ref="E236" r:id="rId108" display="https://twitter.com/bigalont"/>
    <hyperlink ref="E238" r:id="rId109" display="https://twitter.com/AlanLC1979"/>
    <hyperlink ref="F238" r:id="rId110" display="http://instagram.com/AlanLC1979"/>
    <hyperlink ref="E240" r:id="rId111" display="https://twitter.com/MandyRiese"/>
    <hyperlink ref="F240" r:id="rId112" display="http://instagram.com/mandyriese"/>
    <hyperlink ref="E243" r:id="rId113" display="https://twitter.com/puttyman5000"/>
    <hyperlink ref="E250" r:id="rId114" display="https://twitter.com/Hot_Dog41"/>
    <hyperlink ref="F250" r:id="rId115" display="http://instagram.com/hotdog_theintern"/>
    <hyperlink ref="E258" r:id="rId116" display="https://twitter.com/Hyena_Fist"/>
    <hyperlink ref="F258" r:id="rId117" display="http://instagram.com/hyena_fist74"/>
    <hyperlink ref="E260" r:id="rId118" display="https://twitter.com/spryguy25"/>
    <hyperlink ref="E264" r:id="rId119" display="https://twitter.com/azkellie"/>
    <hyperlink ref="F264" r:id="rId120" display="http://instagram.com/azkellie"/>
    <hyperlink ref="E269" r:id="rId121" display="https://twitter.com/mauibry"/>
    <hyperlink ref="F269" r:id="rId122" display="http://instagram.com/mauibry"/>
    <hyperlink ref="E272" r:id="rId123" display="https://twitter.com/RadioJetta"/>
    <hyperlink ref="F272" r:id="rId124" display="http://instagram.com/radiojetta"/>
    <hyperlink ref="E274" r:id="rId125" display="https://twitter.com/leebunting"/>
    <hyperlink ref="F274" r:id="rId126" display="http://instagram.com/leebunting"/>
    <hyperlink ref="F275" r:id="rId127" display="http://instagram.com/deadletters/"/>
    <hyperlink ref="E278" r:id="rId128" display="https://twitter.com/johninhouston"/>
    <hyperlink ref="F278" r:id="rId129" display="http://instagram.com/johninhouston"/>
    <hyperlink ref="E292" r:id="rId130" display="https://twitter.com/AZ_RedDragon"/>
    <hyperlink ref="F292" r:id="rId131" display="http://instagram.com/az_reddragon/"/>
    <hyperlink ref="E293" r:id="rId132" display="https://twitter.com/PaulM138666"/>
    <hyperlink ref="E297" r:id="rId133" display="https://twitter.com/mighty_boognish"/>
    <hyperlink ref="F297" r:id="rId134" display="http://instagram.com/themightyboognish"/>
    <hyperlink ref="E312" r:id="rId135" display="https://twitter.com/TonyMcCord"/>
    <hyperlink ref="F312" r:id="rId136" display="http://instagram.com/anthonymccord"/>
    <hyperlink ref="E317" r:id="rId137" display="https://twitter.com/DraXsiS_Rocker"/>
    <hyperlink ref="F317" r:id="rId138" display="http://instagram.com/draxsis_rocker"/>
    <hyperlink ref="E318" r:id="rId139" display="https://twitter.com/matmonsterk"/>
    <hyperlink ref="F318" r:id="rId140" display="http://instagram.com/matmonsterk"/>
    <hyperlink ref="E320" r:id="rId141" display="https://twitter.com/Meaty_OZ"/>
    <hyperlink ref="F320" r:id="rId142" display="http://instagram.com/Meaty_oz"/>
    <hyperlink ref="E327" r:id="rId143" display="https://twitter.com/bigmig214"/>
    <hyperlink ref="F327" r:id="rId144" display="http://instagram.com/bigmig214"/>
    <hyperlink ref="E329" r:id="rId145" display="https://twitter.com/mike_in_canada"/>
    <hyperlink ref="F329" r:id="rId146" display="http://instagram.com/MikeInCanada_"/>
    <hyperlink ref="E331" r:id="rId147" display="https://twitter.com/ridewithtim"/>
    <hyperlink ref="F331" r:id="rId148" display="http://instagram.com/ridewithtim"/>
    <hyperlink ref="F334" r:id="rId149" display="http://instagram.com/jared2207"/>
    <hyperlink ref="E337" r:id="rId150" display="https://twitter.com/McKaI86"/>
    <hyperlink ref="E339" r:id="rId151" display="https://twitter.com/Bourne_Paige"/>
    <hyperlink ref="F339" r:id="rId152" display="http://instagram.com/bourne_paige"/>
    <hyperlink ref="E340" r:id="rId153" display="https://twitter.com/Bafsnow"/>
    <hyperlink ref="F340" r:id="rId154" display="http://instagram.com/b.a.f.snow"/>
    <hyperlink ref="E347" r:id="rId155" display="https://twitter.com/Rossetti702"/>
    <hyperlink ref="E348" r:id="rId156" display="https://twitter.com/Edgell59_Ethan"/>
    <hyperlink ref="F348" r:id="rId157" display="http://instagram.com/ninjaflyingedgell"/>
    <hyperlink ref="E349" r:id="rId158" display="https://twitter.com/AmeralReid"/>
    <hyperlink ref="F349" r:id="rId159" display="http://instagram.com/amy_nipplopolis"/>
    <hyperlink ref="E353" r:id="rId160" display="https://twitter.com/DJM16"/>
    <hyperlink ref="F353" r:id="rId161" display="http://instagram.com/emsixtene"/>
    <hyperlink ref="E354" r:id="rId162" display="https://twitter.com/J_GRAY1"/>
    <hyperlink ref="F354" r:id="rId163" display="http://instagram.com/shade_of_gray"/>
    <hyperlink ref="E355" r:id="rId164" display="https://twitter.com/Saveit4thewar"/>
    <hyperlink ref="F355" r:id="rId165" display="http://instagram.com/delahoya_rds"/>
    <hyperlink ref="E356" r:id="rId166" display="https://twitter.com/Jeff_H8R"/>
    <hyperlink ref="F356" r:id="rId167" display="http://instagram.com/overgrownseamonkey"/>
    <hyperlink ref="E357" r:id="rId168" display="https://twitter.com/Tarfugaming"/>
    <hyperlink ref="F357" r:id="rId169" display="http://instagram.com/tarfugaming"/>
    <hyperlink ref="E363" r:id="rId170" display="https://twitter.com/lindmaer"/>
    <hyperlink ref="F363" r:id="rId171" display="http://instagram.com/lindmaer"/>
    <hyperlink ref="E364" r:id="rId172" display="https://twitter.com/CWendenburg"/>
    <hyperlink ref="F364" r:id="rId173" display="http://instagram.com/taugen"/>
    <hyperlink ref="E367" r:id="rId174" display="https://twitter.com/need_rehab"/>
    <hyperlink ref="F367" r:id="rId175" display="http://instagram.com/alberthiaume"/>
    <hyperlink ref="F369" r:id="rId176" display="http://instagram.com/Philthiest"/>
    <hyperlink ref="F370" r:id="rId177" display="http://instagram.com/phillybobb"/>
    <hyperlink ref="E378" r:id="rId178" display="https://twitter.com/JasonFromSD"/>
    <hyperlink ref="F378" r:id="rId179" display="http://instagram.com/jasonbehnke"/>
    <hyperlink ref="E381" r:id="rId180" display="https://twitter.com/wk_PoorBastard"/>
    <hyperlink ref="F381" r:id="rId181" display="http://instagram.com/dub97gt"/>
    <hyperlink ref="E383" r:id="rId182" display="https://twitter.com/Walkerman75"/>
    <hyperlink ref="F383" r:id="rId183" display="http://instagram.com/walkerman75"/>
    <hyperlink ref="F389" r:id="rId184" display="http://instagram.com/presidentdeath"/>
    <hyperlink ref="E398" r:id="rId185" display="https://twitter.com/curbjobjason"/>
    <hyperlink ref="E401" r:id="rId186" display="https://twitter.com/snakel87"/>
    <hyperlink ref="F401" r:id="rId187" display="http://instagram.com/snakel87"/>
    <hyperlink ref="E403" r:id="rId188" display="https://twitter.com/jaymzmurphy"/>
    <hyperlink ref="E412" r:id="rId189" display="https://twitter.com/rainmanrds"/>
    <hyperlink ref="F412" r:id="rId190" display="http://instagram.com/rainmanrds"/>
    <hyperlink ref="F413" r:id="rId191" display="http://instagram.com/sjkrupenny"/>
    <hyperlink ref="E414" r:id="rId192" display="https://twitter.com/RadioTFB"/>
    <hyperlink ref="F414" r:id="rId193" display="http://instagram.com/radiotfb"/>
    <hyperlink ref="F415" r:id="rId194" display="http://instagram.com/aj_slagan"/>
    <hyperlink ref="F419" r:id="rId195" display="http://instagram.com/jordanstrange666/"/>
    <hyperlink ref="E428" r:id="rId196" display="https://twitter.com/Cainester"/>
    <hyperlink ref="F428" r:id="rId197" display="http://instagram.com/cainester"/>
    <hyperlink ref="E429" r:id="rId198" display="https://twitter.com/DrunkonBabies"/>
    <hyperlink ref="F429" r:id="rId199" display="http://instagram.com/drunkonbabies"/>
    <hyperlink ref="E442" r:id="rId200" display="https://twitter.com/toms3051"/>
    <hyperlink ref="F442" r:id="rId201" display="http://instagram.com/Tom295"/>
    <hyperlink ref="E444" r:id="rId202" display="https://twitter.com/Oldmanfry"/>
    <hyperlink ref="F444" r:id="rId203" display="http://instagram.com/oldmanfry"/>
    <hyperlink ref="E445" r:id="rId204" display="https://twitter.com/emilyinSD"/>
    <hyperlink ref="F445" r:id="rId205" display="http://instagram.com/emilyinsd"/>
    <hyperlink ref="E448" r:id="rId206" display="https://twitter.com/TithaS"/>
    <hyperlink ref="F448" r:id="rId207" display="http://instagram.com/SGTwolfknife"/>
    <hyperlink ref="F456" r:id="rId208" display="http://instagram.com/wolffire12"/>
    <hyperlink ref="E460" r:id="rId209" display="https://twitter.com/shit_toboggan"/>
    <hyperlink ref="F460" r:id="rId210" display="http://instagram.com/shit.toboggan"/>
    <hyperlink ref="E468" r:id="rId211" display="https://twitter.com/sleepyjoe_RDS"/>
    <hyperlink ref="F468" r:id="rId212" display="http://instagram.com/sleepyjoepo"/>
    <hyperlink ref="E473" r:id="rId213" display="https://twitter.com/Soccovitch"/>
    <hyperlink ref="F473" r:id="rId214" display="http://instagram.com/soccovitch"/>
    <hyperlink ref="E479" r:id="rId215" display="https://twitter.com/spaseghost"/>
    <hyperlink ref="E483" r:id="rId216" display="https://twitter.com/Kvetter81"/>
    <hyperlink ref="F483" r:id="rId217" display="http://instagram.com/Dibiase8181"/>
    <hyperlink ref="E486" r:id="rId218" display="https://twitter.com/ErikStene"/>
    <hyperlink ref="F486" r:id="rId219" display="http://instagram.com/gore_d"/>
    <hyperlink ref="E487" r:id="rId220" display="https://twitter.com/stapleneck"/>
    <hyperlink ref="F487" r:id="rId221" display="http://instagram.com/stapleneck"/>
    <hyperlink ref="F490" r:id="rId222" display="http://instagram.com/t_wreck"/>
    <hyperlink ref="E494" r:id="rId223" display="https://twitter.com/FredoWin"/>
    <hyperlink ref="F494" r:id="rId224" display="http://instagram.com/summer_pasta"/>
    <hyperlink ref="E495" r:id="rId225" display="https://twitter.com/possiblytully"/>
    <hyperlink ref="F495" r:id="rId226" display="http://instagram.com/tullywood"/>
    <hyperlink ref="E497" r:id="rId227" display="https://twitter.com/JoleneParties"/>
    <hyperlink ref="F497" r:id="rId228" display="http://instagram.com/missjolenemae"/>
    <hyperlink ref="E505" r:id="rId229" display="https://twitter.com/Cullensaidthis"/>
    <hyperlink ref="F505" r:id="rId230" display="http://instagram.com/cullensaidthis/"/>
    <hyperlink ref="E511" r:id="rId231" display="https://twitter.com/bombsnuffer"/>
    <hyperlink ref="F511" r:id="rId232" display="http://instagram.com/zachzachzach_"/>
    <hyperlink ref="F514" r:id="rId233" display="http://instagram.com/mrjinkzd"/>
    <hyperlink ref="E519" r:id="rId234" display="https://twitter.com/blasko1313"/>
    <hyperlink ref="F519" r:id="rId235" display="http://instagram.com/blasko1313"/>
    <hyperlink ref="F530" r:id="rId236" display="http://instagram.com/truechief77"/>
    <hyperlink ref="E531" r:id="rId237" display="https://twitter.com/queefleprecaun"/>
    <hyperlink ref="F531" r:id="rId238" display="http://instagram.com/stephenmccr"/>
    <hyperlink ref="E532" r:id="rId239" display="https://twitter.com/Sabotage70"/>
    <hyperlink ref="F532" r:id="rId240" display="http://instagram.com/Sabotage70"/>
    <hyperlink ref="E539" r:id="rId241" display="https://twitter.com/TheWoodswoman"/>
    <hyperlink ref="F539" r:id="rId242" display="http://instagram.com/thewoodswoman"/>
    <hyperlink ref="E540" r:id="rId243" display="https://twitter.com/J_Chappel"/>
    <hyperlink ref="F540" r:id="rId244" display="http://instagram.com/wk_thomas_hayden_chappel"/>
    <hyperlink ref="E541" r:id="rId245" display="https://twitter.com/cdika17"/>
    <hyperlink ref="E542" r:id="rId246" display="https://twitter.com/webes44"/>
    <hyperlink ref="F542" r:id="rId247" display="http://instagram.com/tinwacker"/>
    <hyperlink ref="E544" r:id="rId248" display="https://twitter.com/kikkiluvsracing"/>
    <hyperlink ref="F544" r:id="rId249" display="http://instagram.com/kikkiluvsracing"/>
    <hyperlink ref="E551" r:id="rId250" display="https://twitter.com/atmbcool"/>
    <hyperlink ref="F551" r:id="rId251" display="http://instagram.com/tripletee"/>
    <hyperlink ref="E553" r:id="rId252" display="https://twitter.com/cantskateanymre"/>
    <hyperlink ref="F553" r:id="rId253" display="http://instagram.com/cantsk8rds"/>
    <hyperlink ref="E556" r:id="rId254" display="https://twitter.com/Truk_Norris"/>
    <hyperlink ref="E558" r:id="rId255" display="https://twitter.com/tubeinspecter"/>
    <hyperlink ref="F558" r:id="rId256" display="http://instagram.com/tubinspecter"/>
    <hyperlink ref="E563" r:id="rId257" display="https://twitter.com/TwistedMetalFab"/>
    <hyperlink ref="F563" r:id="rId258" display="http://instagram.com/twistedmetalfab"/>
    <hyperlink ref="E566" r:id="rId259" display="https://twitter.com/ViPER_EAW"/>
    <hyperlink ref="F566" r:id="rId260" display="http://instagram.com/viper_eaw"/>
    <hyperlink ref="E569" r:id="rId261" display="https://twitter.com/MaddTrippNz"/>
    <hyperlink ref="E572" r:id="rId262" display="https://twitter.com/frontline1"/>
    <hyperlink ref="E573" r:id="rId263" display="https://twitter.com/fm_fan2012"/>
    <hyperlink ref="F573" r:id="rId264" display="http://instagram.com/pdx_fan"/>
    <hyperlink ref="E575" r:id="rId265" display="https://twitter.com/Wolfman812"/>
    <hyperlink ref="F575" r:id="rId266" display="http://instagram.com/wolfman812"/>
    <hyperlink ref="E581" r:id="rId267" display="https://twitter.com/EllisMate"/>
    <hyperlink ref="F581" r:id="rId268" display="http://instagram.com/wolfmat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dcterms:created xsi:type="dcterms:W3CDTF">2014-09-24T23:21:07Z</dcterms:created>
  <dcterms:modified xsi:type="dcterms:W3CDTF">2014-09-24T23:21:07Z</dcterms:modified>
</cp:coreProperties>
</file>